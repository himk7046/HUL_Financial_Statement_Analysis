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IMANSHU\Downloads\"/>
    </mc:Choice>
  </mc:AlternateContent>
  <xr:revisionPtr revIDLastSave="0" documentId="13_ncr:1_{D8661944-A97E-4997-96A4-DDC2E86EAA0C}" xr6:coauthVersionLast="47" xr6:coauthVersionMax="47" xr10:uidLastSave="{00000000-0000-0000-0000-000000000000}"/>
  <bookViews>
    <workbookView xWindow="-108" yWindow="-108" windowWidth="23256" windowHeight="13176" xr2:uid="{00000000-000D-0000-FFFF-FFFF00000000}"/>
  </bookViews>
  <sheets>
    <sheet name="Front" sheetId="1" r:id="rId1"/>
    <sheet name="Intro" sheetId="2" r:id="rId2"/>
    <sheet name="Vertical financial statements" sheetId="3" r:id="rId3"/>
    <sheet name="comparative statements" sheetId="4" r:id="rId4"/>
    <sheet name=" common size statements" sheetId="5" r:id="rId5"/>
    <sheet name="trend statements" sheetId="6" r:id="rId6"/>
    <sheet name="Ratio analysis" sheetId="7" r:id="rId7"/>
    <sheet name="Dupont Analysis" sheetId="8" r:id="rId8"/>
    <sheet name="Z-Score" sheetId="9" r:id="rId9"/>
    <sheet name="F-Score" sheetId="10" r:id="rId10"/>
    <sheet name="Assumptions" sheetId="11" r:id="rId11"/>
    <sheet name="Decisionssuggestionsopinions "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1" i="9" l="1"/>
  <c r="G40" i="9"/>
  <c r="E40" i="9"/>
  <c r="F39" i="9"/>
  <c r="D39" i="9"/>
  <c r="G38" i="9"/>
  <c r="C38" i="9"/>
  <c r="F37" i="9"/>
  <c r="F43" i="9" s="1"/>
  <c r="D37" i="9"/>
  <c r="G35" i="9"/>
  <c r="G41" i="9" s="1"/>
  <c r="F35" i="9"/>
  <c r="F41" i="9" s="1"/>
  <c r="E35" i="9"/>
  <c r="E41" i="9" s="1"/>
  <c r="D35" i="9"/>
  <c r="C35" i="9"/>
  <c r="C41" i="9" s="1"/>
  <c r="G34" i="9"/>
  <c r="F34" i="9"/>
  <c r="F40" i="9" s="1"/>
  <c r="E34" i="9"/>
  <c r="D34" i="9"/>
  <c r="D40" i="9" s="1"/>
  <c r="C34" i="9"/>
  <c r="C40" i="9" s="1"/>
  <c r="G33" i="9"/>
  <c r="G39" i="9" s="1"/>
  <c r="F33" i="9"/>
  <c r="E33" i="9"/>
  <c r="E39" i="9" s="1"/>
  <c r="D33" i="9"/>
  <c r="C33" i="9"/>
  <c r="C39" i="9" s="1"/>
  <c r="G32" i="9"/>
  <c r="F32" i="9"/>
  <c r="F38" i="9" s="1"/>
  <c r="E32" i="9"/>
  <c r="E38" i="9" s="1"/>
  <c r="D32" i="9"/>
  <c r="D38" i="9" s="1"/>
  <c r="C32" i="9"/>
  <c r="G31" i="9"/>
  <c r="G37" i="9" s="1"/>
  <c r="G43" i="9" s="1"/>
  <c r="F31" i="9"/>
  <c r="E31" i="9"/>
  <c r="E37" i="9" s="1"/>
  <c r="E43" i="9" s="1"/>
  <c r="D31" i="9"/>
  <c r="C31" i="9"/>
  <c r="C37" i="9" s="1"/>
  <c r="F20" i="8"/>
  <c r="E20" i="8"/>
  <c r="D20" i="8"/>
  <c r="C20" i="8"/>
  <c r="B20" i="8"/>
  <c r="F87" i="6"/>
  <c r="E87" i="6"/>
  <c r="D87" i="6"/>
  <c r="C87" i="6"/>
  <c r="B87" i="6"/>
  <c r="B77" i="6"/>
  <c r="K51" i="6"/>
  <c r="J51" i="6"/>
  <c r="I51" i="6"/>
  <c r="K50" i="6"/>
  <c r="J50" i="6"/>
  <c r="I50" i="6"/>
  <c r="K49" i="6"/>
  <c r="J49" i="6"/>
  <c r="I49" i="6"/>
  <c r="K48" i="6"/>
  <c r="J48" i="6"/>
  <c r="I48" i="6"/>
  <c r="K47" i="6"/>
  <c r="J47" i="6"/>
  <c r="I47" i="6"/>
  <c r="K46" i="6"/>
  <c r="J46" i="6"/>
  <c r="I46" i="6"/>
  <c r="K45" i="6"/>
  <c r="J45" i="6"/>
  <c r="I45" i="6"/>
  <c r="K44" i="6"/>
  <c r="J44" i="6"/>
  <c r="I44" i="6"/>
  <c r="K43" i="6"/>
  <c r="J43" i="6"/>
  <c r="I43" i="6"/>
  <c r="K42" i="6"/>
  <c r="J42" i="6"/>
  <c r="I42" i="6"/>
  <c r="K41" i="6"/>
  <c r="J41" i="6"/>
  <c r="I41" i="6"/>
  <c r="K39" i="6"/>
  <c r="J39" i="6"/>
  <c r="I39" i="6"/>
  <c r="K38" i="6"/>
  <c r="J38" i="6"/>
  <c r="I38" i="6"/>
  <c r="K37" i="6"/>
  <c r="J37" i="6"/>
  <c r="I37" i="6"/>
  <c r="K36" i="6"/>
  <c r="J36" i="6"/>
  <c r="I36" i="6"/>
  <c r="K35" i="6"/>
  <c r="J35" i="6"/>
  <c r="I35" i="6"/>
  <c r="K34" i="6"/>
  <c r="J34" i="6"/>
  <c r="I34" i="6"/>
  <c r="K33" i="6"/>
  <c r="J33" i="6"/>
  <c r="I33" i="6"/>
  <c r="K32" i="6"/>
  <c r="J32" i="6"/>
  <c r="I32" i="6"/>
  <c r="K31" i="6"/>
  <c r="J31" i="6"/>
  <c r="I31" i="6"/>
  <c r="K30" i="6"/>
  <c r="J30" i="6"/>
  <c r="I30" i="6"/>
  <c r="K29" i="6"/>
  <c r="J29" i="6"/>
  <c r="I29" i="6"/>
  <c r="K26" i="6"/>
  <c r="J26" i="6"/>
  <c r="I26" i="6"/>
  <c r="H26" i="6"/>
  <c r="K25" i="6"/>
  <c r="J25" i="6"/>
  <c r="I25" i="6"/>
  <c r="H25" i="6"/>
  <c r="K23" i="6"/>
  <c r="J23" i="6"/>
  <c r="I23" i="6"/>
  <c r="H23" i="6"/>
  <c r="K22" i="6"/>
  <c r="J22" i="6"/>
  <c r="I22" i="6"/>
  <c r="H22" i="6"/>
  <c r="K21" i="6"/>
  <c r="J21" i="6"/>
  <c r="I21" i="6"/>
  <c r="H21" i="6"/>
  <c r="K20" i="6"/>
  <c r="J20" i="6"/>
  <c r="I20" i="6"/>
  <c r="H20" i="6"/>
  <c r="K19" i="6"/>
  <c r="J19" i="6"/>
  <c r="I19" i="6"/>
  <c r="H19" i="6"/>
  <c r="K17" i="6"/>
  <c r="J17" i="6"/>
  <c r="I17" i="6"/>
  <c r="H17" i="6"/>
  <c r="K16" i="6"/>
  <c r="J16" i="6"/>
  <c r="I16" i="6"/>
  <c r="H16" i="6"/>
  <c r="K15" i="6"/>
  <c r="J15" i="6"/>
  <c r="I15" i="6"/>
  <c r="H15" i="6"/>
  <c r="K14" i="6"/>
  <c r="J14" i="6"/>
  <c r="I14" i="6"/>
  <c r="H14" i="6"/>
  <c r="K13" i="6"/>
  <c r="J13" i="6"/>
  <c r="I13" i="6"/>
  <c r="H13" i="6"/>
  <c r="K12" i="6"/>
  <c r="J12" i="6"/>
  <c r="I12" i="6"/>
  <c r="H12" i="6"/>
  <c r="K9" i="6"/>
  <c r="J9" i="6"/>
  <c r="I9" i="6"/>
  <c r="H9" i="6"/>
  <c r="K8" i="6"/>
  <c r="J8" i="6"/>
  <c r="I8" i="6"/>
  <c r="H8" i="6"/>
  <c r="K7" i="6"/>
  <c r="J7" i="6"/>
  <c r="I7" i="6"/>
  <c r="H7" i="6"/>
  <c r="F90" i="5"/>
  <c r="E90" i="5"/>
  <c r="D90" i="5"/>
  <c r="C90" i="5"/>
  <c r="B90" i="5"/>
  <c r="B80" i="5"/>
  <c r="K52" i="5"/>
  <c r="J52" i="5"/>
  <c r="I52" i="5"/>
  <c r="H52" i="5"/>
  <c r="G52" i="5"/>
  <c r="K51" i="5"/>
  <c r="J51" i="5"/>
  <c r="I51" i="5"/>
  <c r="H51" i="5"/>
  <c r="G51" i="5"/>
  <c r="K50" i="5"/>
  <c r="J50" i="5"/>
  <c r="I50" i="5"/>
  <c r="H50" i="5"/>
  <c r="G50" i="5"/>
  <c r="K49" i="5"/>
  <c r="J49" i="5"/>
  <c r="I49" i="5"/>
  <c r="H49" i="5"/>
  <c r="G49" i="5"/>
  <c r="K48" i="5"/>
  <c r="J48" i="5"/>
  <c r="I48" i="5"/>
  <c r="H48" i="5"/>
  <c r="G48" i="5"/>
  <c r="K47" i="5"/>
  <c r="J47" i="5"/>
  <c r="I47" i="5"/>
  <c r="H47" i="5"/>
  <c r="G47" i="5"/>
  <c r="K46" i="5"/>
  <c r="J46" i="5"/>
  <c r="I46" i="5"/>
  <c r="H46" i="5"/>
  <c r="G46" i="5"/>
  <c r="K45" i="5"/>
  <c r="J45" i="5"/>
  <c r="I45" i="5"/>
  <c r="H45" i="5"/>
  <c r="G45" i="5"/>
  <c r="K44" i="5"/>
  <c r="J44" i="5"/>
  <c r="I44" i="5"/>
  <c r="H44" i="5"/>
  <c r="G44" i="5"/>
  <c r="K43" i="5"/>
  <c r="J43" i="5"/>
  <c r="I43" i="5"/>
  <c r="H43" i="5"/>
  <c r="G43" i="5"/>
  <c r="K42" i="5"/>
  <c r="J42" i="5"/>
  <c r="I42" i="5"/>
  <c r="H42" i="5"/>
  <c r="G42" i="5"/>
  <c r="K40" i="5"/>
  <c r="J40" i="5"/>
  <c r="I40" i="5"/>
  <c r="H40" i="5"/>
  <c r="G40" i="5"/>
  <c r="K39" i="5"/>
  <c r="J39" i="5"/>
  <c r="I39" i="5"/>
  <c r="H39" i="5"/>
  <c r="G39" i="5"/>
  <c r="K38" i="5"/>
  <c r="J38" i="5"/>
  <c r="I38" i="5"/>
  <c r="H38" i="5"/>
  <c r="G38" i="5"/>
  <c r="K37" i="5"/>
  <c r="J37" i="5"/>
  <c r="I37" i="5"/>
  <c r="H37" i="5"/>
  <c r="G37" i="5"/>
  <c r="K36" i="5"/>
  <c r="J36" i="5"/>
  <c r="I36" i="5"/>
  <c r="H36" i="5"/>
  <c r="G36" i="5"/>
  <c r="K35" i="5"/>
  <c r="J35" i="5"/>
  <c r="I35" i="5"/>
  <c r="H35" i="5"/>
  <c r="G35" i="5"/>
  <c r="K34" i="5"/>
  <c r="J34" i="5"/>
  <c r="I34" i="5"/>
  <c r="H34" i="5"/>
  <c r="G34" i="5"/>
  <c r="K33" i="5"/>
  <c r="J33" i="5"/>
  <c r="I33" i="5"/>
  <c r="H33" i="5"/>
  <c r="G33" i="5"/>
  <c r="K32" i="5"/>
  <c r="J32" i="5"/>
  <c r="I32" i="5"/>
  <c r="H32" i="5"/>
  <c r="G32" i="5"/>
  <c r="K31" i="5"/>
  <c r="J31" i="5"/>
  <c r="I31" i="5"/>
  <c r="H31" i="5"/>
  <c r="G31" i="5"/>
  <c r="K27" i="5"/>
  <c r="J27" i="5"/>
  <c r="I27" i="5"/>
  <c r="H27" i="5"/>
  <c r="G27" i="5"/>
  <c r="K26" i="5"/>
  <c r="J26" i="5"/>
  <c r="I26" i="5"/>
  <c r="H26" i="5"/>
  <c r="G26" i="5"/>
  <c r="K25" i="5"/>
  <c r="J25" i="5"/>
  <c r="I25" i="5"/>
  <c r="H25" i="5"/>
  <c r="G25" i="5"/>
  <c r="K24" i="5"/>
  <c r="J24" i="5"/>
  <c r="I24" i="5"/>
  <c r="H24" i="5"/>
  <c r="G24" i="5"/>
  <c r="K23" i="5"/>
  <c r="J23" i="5"/>
  <c r="I23" i="5"/>
  <c r="H23" i="5"/>
  <c r="G23" i="5"/>
  <c r="K22" i="5"/>
  <c r="J22" i="5"/>
  <c r="I22" i="5"/>
  <c r="H22" i="5"/>
  <c r="G22" i="5"/>
  <c r="K21" i="5"/>
  <c r="J21" i="5"/>
  <c r="I21" i="5"/>
  <c r="H21" i="5"/>
  <c r="G21" i="5"/>
  <c r="K20" i="5"/>
  <c r="J20" i="5"/>
  <c r="I20" i="5"/>
  <c r="H20" i="5"/>
  <c r="G20" i="5"/>
  <c r="K17" i="5"/>
  <c r="J17" i="5"/>
  <c r="I17" i="5"/>
  <c r="H17" i="5"/>
  <c r="G17" i="5"/>
  <c r="K16" i="5"/>
  <c r="J16" i="5"/>
  <c r="I16" i="5"/>
  <c r="H16" i="5"/>
  <c r="G16" i="5"/>
  <c r="K15" i="5"/>
  <c r="J15" i="5"/>
  <c r="I15" i="5"/>
  <c r="H15" i="5"/>
  <c r="G15" i="5"/>
  <c r="K14" i="5"/>
  <c r="J14" i="5"/>
  <c r="I14" i="5"/>
  <c r="H14" i="5"/>
  <c r="G14" i="5"/>
  <c r="K13" i="5"/>
  <c r="J13" i="5"/>
  <c r="I13" i="5"/>
  <c r="H13" i="5"/>
  <c r="G13" i="5"/>
  <c r="K12" i="5"/>
  <c r="J12" i="5"/>
  <c r="I12" i="5"/>
  <c r="H12" i="5"/>
  <c r="G12" i="5"/>
  <c r="K9" i="5"/>
  <c r="J9" i="5"/>
  <c r="I9" i="5"/>
  <c r="H9" i="5"/>
  <c r="G9" i="5"/>
  <c r="K8" i="5"/>
  <c r="J8" i="5"/>
  <c r="I8" i="5"/>
  <c r="H8" i="5"/>
  <c r="G8" i="5"/>
  <c r="K7" i="5"/>
  <c r="J7" i="5"/>
  <c r="I7" i="5"/>
  <c r="H7" i="5"/>
  <c r="G7" i="5"/>
  <c r="E90" i="4"/>
  <c r="D90" i="4"/>
  <c r="E89" i="4"/>
  <c r="D89" i="4"/>
  <c r="E88" i="4"/>
  <c r="D88" i="4"/>
  <c r="D87" i="4"/>
  <c r="E87" i="4" s="1"/>
  <c r="E86" i="4"/>
  <c r="D86" i="4"/>
  <c r="E85" i="4"/>
  <c r="D85" i="4"/>
  <c r="E84" i="4"/>
  <c r="D84" i="4"/>
  <c r="D83" i="4"/>
  <c r="E83" i="4" s="1"/>
  <c r="E82" i="4"/>
  <c r="D82" i="4"/>
  <c r="E81" i="4"/>
  <c r="D81" i="4"/>
  <c r="E80" i="4"/>
  <c r="D80" i="4"/>
  <c r="D79" i="4"/>
  <c r="E79" i="4" s="1"/>
  <c r="E78" i="4"/>
  <c r="D78" i="4"/>
  <c r="E77" i="4"/>
  <c r="D77" i="4"/>
  <c r="E74" i="4"/>
  <c r="D74" i="4"/>
  <c r="D73" i="4"/>
  <c r="E73" i="4" s="1"/>
  <c r="E72" i="4"/>
  <c r="D72" i="4"/>
  <c r="D50" i="4"/>
  <c r="D49" i="4"/>
  <c r="D48" i="4"/>
  <c r="D47" i="4"/>
  <c r="D46" i="4"/>
  <c r="D45" i="4"/>
  <c r="D44" i="4"/>
  <c r="D43" i="4"/>
  <c r="D42" i="4"/>
  <c r="D41" i="4"/>
  <c r="D40" i="4"/>
  <c r="D38" i="4"/>
  <c r="D37" i="4"/>
  <c r="D36" i="4"/>
  <c r="D35" i="4"/>
  <c r="D34" i="4"/>
  <c r="D33" i="4"/>
  <c r="D32" i="4"/>
  <c r="D31" i="4"/>
  <c r="D30" i="4"/>
  <c r="D26" i="4"/>
  <c r="D25" i="4"/>
  <c r="D24" i="4"/>
  <c r="D23" i="4"/>
  <c r="D22" i="4"/>
  <c r="D21" i="4"/>
  <c r="D20" i="4"/>
  <c r="D19" i="4"/>
  <c r="D16" i="4"/>
  <c r="D15" i="4"/>
  <c r="D14" i="4"/>
  <c r="D13" i="4"/>
  <c r="D12" i="4"/>
  <c r="D11" i="4"/>
  <c r="D8" i="4"/>
  <c r="D7" i="4"/>
  <c r="F84" i="3"/>
  <c r="E84" i="3"/>
  <c r="G83" i="3"/>
  <c r="F83" i="3"/>
  <c r="E83" i="3"/>
  <c r="D83" i="3"/>
  <c r="C83" i="3"/>
  <c r="C84" i="3" s="1"/>
  <c r="G71" i="3"/>
  <c r="G84" i="3" s="1"/>
  <c r="F71" i="3"/>
  <c r="E71" i="3"/>
  <c r="D71" i="3"/>
  <c r="D84" i="3" s="1"/>
  <c r="C71" i="3"/>
  <c r="E56" i="3"/>
  <c r="D56" i="3"/>
  <c r="G55" i="3"/>
  <c r="F55" i="3"/>
  <c r="E55" i="3"/>
  <c r="D55" i="3"/>
  <c r="C55" i="3"/>
  <c r="G45" i="3"/>
  <c r="F45" i="3"/>
  <c r="E45" i="3"/>
  <c r="D45" i="3"/>
  <c r="C45" i="3"/>
  <c r="G36" i="3"/>
  <c r="G56" i="3" s="1"/>
  <c r="F36" i="3"/>
  <c r="F56" i="3" s="1"/>
  <c r="E36" i="3"/>
  <c r="D36" i="3"/>
  <c r="C36" i="3"/>
  <c r="C56" i="3" s="1"/>
  <c r="C21" i="3"/>
  <c r="C25" i="3" s="1"/>
  <c r="C19" i="3"/>
  <c r="G18" i="3"/>
  <c r="F18" i="3"/>
  <c r="E18" i="3"/>
  <c r="D18" i="3"/>
  <c r="C18" i="3"/>
  <c r="G8" i="3"/>
  <c r="G19" i="3" s="1"/>
  <c r="G21" i="3" s="1"/>
  <c r="G25" i="3" s="1"/>
  <c r="F8" i="3"/>
  <c r="F19" i="3" s="1"/>
  <c r="F21" i="3" s="1"/>
  <c r="F25" i="3" s="1"/>
  <c r="E8" i="3"/>
  <c r="E19" i="3" s="1"/>
  <c r="E21" i="3" s="1"/>
  <c r="E25" i="3" s="1"/>
  <c r="D8" i="3"/>
  <c r="D19" i="3" s="1"/>
  <c r="D21" i="3" s="1"/>
  <c r="D25" i="3" s="1"/>
  <c r="C8" i="3"/>
  <c r="C43" i="9" l="1"/>
  <c r="D43" i="9"/>
</calcChain>
</file>

<file path=xl/sharedStrings.xml><?xml version="1.0" encoding="utf-8"?>
<sst xmlns="http://schemas.openxmlformats.org/spreadsheetml/2006/main" count="740" uniqueCount="493">
  <si>
    <t>(Amount Rs. in crores)</t>
  </si>
  <si>
    <t xml:space="preserve">Hindustan Unilever Limited </t>
  </si>
  <si>
    <t>Comparative Balance Sheet</t>
  </si>
  <si>
    <t xml:space="preserve">Profit And Loss Account </t>
  </si>
  <si>
    <t>Particulars</t>
  </si>
  <si>
    <t>Note No.</t>
  </si>
  <si>
    <t>2023-24</t>
  </si>
  <si>
    <t>2024-25</t>
  </si>
  <si>
    <t>Amt. Rs. 2020-21</t>
  </si>
  <si>
    <t>Absolute Change</t>
  </si>
  <si>
    <t>Percentage Change</t>
  </si>
  <si>
    <t>Amt. Rs. 2021-22</t>
  </si>
  <si>
    <t>Amt. Rs. 2022-23</t>
  </si>
  <si>
    <t>Equity and Liabilities</t>
  </si>
  <si>
    <t>Amt. Rs. 2023-24</t>
  </si>
  <si>
    <t>Amt. Rs. 2024-25</t>
  </si>
  <si>
    <t>INCOME:</t>
  </si>
  <si>
    <t>Equity Share Capital</t>
  </si>
  <si>
    <t xml:space="preserve">  Revenue from operations</t>
  </si>
  <si>
    <t>Other Equity</t>
  </si>
  <si>
    <t xml:space="preserve">  Other income</t>
  </si>
  <si>
    <t>TOTAL INCOME</t>
  </si>
  <si>
    <t>Total Equity (A)</t>
  </si>
  <si>
    <t>Liabilities</t>
  </si>
  <si>
    <t>Non current Liabilities</t>
  </si>
  <si>
    <t>Lease Liabilities</t>
  </si>
  <si>
    <t>EXPENSES:</t>
  </si>
  <si>
    <t>Cost of material consumed</t>
  </si>
  <si>
    <t>Purchase of stock-in-trade</t>
  </si>
  <si>
    <t>Other Financial Liabilities</t>
  </si>
  <si>
    <t>Changes in inventories of FG, WIP &amp; SIT</t>
  </si>
  <si>
    <t>Provisions</t>
  </si>
  <si>
    <t>Employee benefit expense</t>
  </si>
  <si>
    <t>Finance costs</t>
  </si>
  <si>
    <t>Depreciation and amortisation expense</t>
  </si>
  <si>
    <t>Other expenses</t>
  </si>
  <si>
    <t>Deferred Tax Liabilities</t>
  </si>
  <si>
    <t>TOTAL EXPENSES</t>
  </si>
  <si>
    <t>Other Non-current Tax Liabilities</t>
  </si>
  <si>
    <t>Total Non-Current Liabilities (B)</t>
  </si>
  <si>
    <t>Current Liabilities</t>
  </si>
  <si>
    <t>Profit before exceptional items and tax</t>
  </si>
  <si>
    <t>Trade Payables</t>
  </si>
  <si>
    <t>Other Current Liabilities</t>
  </si>
  <si>
    <t>Exceptional items:</t>
  </si>
  <si>
    <t>Profit before tax</t>
  </si>
  <si>
    <t>Current Tax Liabilities</t>
  </si>
  <si>
    <t>Total Current Liabilities (C)</t>
  </si>
  <si>
    <t>Tax expenses:</t>
  </si>
  <si>
    <t>Total Equity &amp; Liabilities (A+B+C)</t>
  </si>
  <si>
    <t xml:space="preserve">          Current tax</t>
  </si>
  <si>
    <t xml:space="preserve">          Deffered tax</t>
  </si>
  <si>
    <t>Profit after tax</t>
  </si>
  <si>
    <t>Assests</t>
  </si>
  <si>
    <t>Non current Assests</t>
  </si>
  <si>
    <t>Property, Plant, Equipment</t>
  </si>
  <si>
    <t>BALANCE SHEET</t>
  </si>
  <si>
    <t>Capital Work In Progress</t>
  </si>
  <si>
    <t>Goodwill</t>
  </si>
  <si>
    <t>Common size Balance sheet</t>
  </si>
  <si>
    <t>Other Intangibles</t>
  </si>
  <si>
    <t>Absolute Amounts</t>
  </si>
  <si>
    <t>EQUITY AND LIABILITIES</t>
  </si>
  <si>
    <t>Percentage of Total Assets</t>
  </si>
  <si>
    <t>Equity:</t>
  </si>
  <si>
    <t>Investment in subsidiaries &amp; Joint Venture</t>
  </si>
  <si>
    <t>2020-21  Rs.</t>
  </si>
  <si>
    <t xml:space="preserve">    Equity share capital</t>
  </si>
  <si>
    <t>Other Financial Assets</t>
  </si>
  <si>
    <t>Non-current Tax Assets</t>
  </si>
  <si>
    <t>2021-22  Rs.</t>
  </si>
  <si>
    <t xml:space="preserve">    Other equity</t>
  </si>
  <si>
    <t>2022-23  Rs.</t>
  </si>
  <si>
    <t>Other Non-current Assets</t>
  </si>
  <si>
    <t>2023-24  Rs.</t>
  </si>
  <si>
    <t>Total equity (A)</t>
  </si>
  <si>
    <t>2024-25  Rs.</t>
  </si>
  <si>
    <t>2020-21  (%)</t>
  </si>
  <si>
    <t>Total Non-current Assets (A)</t>
  </si>
  <si>
    <t>Current Assests</t>
  </si>
  <si>
    <t>Inventories</t>
  </si>
  <si>
    <t>2021-22  (%)</t>
  </si>
  <si>
    <t>Investment</t>
  </si>
  <si>
    <t>2022-23  (%)</t>
  </si>
  <si>
    <t>2023-24  (%)</t>
  </si>
  <si>
    <t>2024-25  (%)</t>
  </si>
  <si>
    <t>Loans</t>
  </si>
  <si>
    <t>Equity &amp; Liabilities</t>
  </si>
  <si>
    <t>Trade Receivables</t>
  </si>
  <si>
    <t>Cash &amp; Cash Equivalents</t>
  </si>
  <si>
    <t>Bank Balances</t>
  </si>
  <si>
    <t>Liabilities:</t>
  </si>
  <si>
    <t>Non - current liabilities:</t>
  </si>
  <si>
    <t>Other Current Assets</t>
  </si>
  <si>
    <t>Financial liabilities:</t>
  </si>
  <si>
    <t>Assets Held for Sale</t>
  </si>
  <si>
    <t xml:space="preserve">      Lease liabilities</t>
  </si>
  <si>
    <t>Total Current Assests (B)</t>
  </si>
  <si>
    <t xml:space="preserve">     Other financial liabilities</t>
  </si>
  <si>
    <t>Total Assests (A+B)</t>
  </si>
  <si>
    <t xml:space="preserve">Deffered tax liabilities </t>
  </si>
  <si>
    <t>Other non-current tax liabilities</t>
  </si>
  <si>
    <t>Total Non-current liabilities (B)</t>
  </si>
  <si>
    <t>Inferences &amp; Analyses</t>
  </si>
  <si>
    <t>Current liabilities:</t>
  </si>
  <si>
    <t xml:space="preserve">     Trade payables</t>
  </si>
  <si>
    <t>1. The comparative balance sheet shows a moderate overall growth of 1.60%, indicating stable financial performance.</t>
  </si>
  <si>
    <t>Other current liabilities</t>
  </si>
  <si>
    <t>Total Equity</t>
  </si>
  <si>
    <t>Trend Statement of Balance Sheet</t>
  </si>
  <si>
    <t>Current tax liabilities</t>
  </si>
  <si>
    <t>2. Equity decreased slightly because of a drop in other equity, suggesting lower reserves or profit retention.</t>
  </si>
  <si>
    <t>Total current liabilities (C)</t>
  </si>
  <si>
    <t>3. Non-current liabilities remained mostly stable with minor changes, while current liabilities rose significantly, mainly due to higher trade payables and provisions. This indicates increased short-term obligations.</t>
  </si>
  <si>
    <t>4. On the assets side, the company invested more in fixed assets, showing continued expansion, while current assets grew modestly.</t>
  </si>
  <si>
    <t>Non-Current Liabilities</t>
  </si>
  <si>
    <t>5. Cash levels improved sharply, but receivables and inventories also increased. This points to slower collections and higher stock levels.</t>
  </si>
  <si>
    <t>Amount Rs. in crores</t>
  </si>
  <si>
    <t>6. Overall, the company is stable and investing in growth, but it needs to pay close attention to liquidity management and rising short-term liabilities.</t>
  </si>
  <si>
    <t xml:space="preserve">Lease Liabilities </t>
  </si>
  <si>
    <t>Comparative Profit and Loss Statement</t>
  </si>
  <si>
    <t>Income</t>
  </si>
  <si>
    <t>Revenue from Operations</t>
  </si>
  <si>
    <t xml:space="preserve">Other Financial Liabilities </t>
  </si>
  <si>
    <t>Other Income</t>
  </si>
  <si>
    <t xml:space="preserve">Provisions </t>
  </si>
  <si>
    <t>Total Income</t>
  </si>
  <si>
    <t>Expenses</t>
  </si>
  <si>
    <t>Cost of Materials Consumed</t>
  </si>
  <si>
    <t>Assets</t>
  </si>
  <si>
    <t>Other NC Tax Liabilities</t>
  </si>
  <si>
    <t>Non-current assets:</t>
  </si>
  <si>
    <t>Property, Plant and Equipment</t>
  </si>
  <si>
    <t>Capital work-in-progress</t>
  </si>
  <si>
    <t>Purchase of Stock-in-Trade</t>
  </si>
  <si>
    <t>Total Non-Current Liabilities</t>
  </si>
  <si>
    <t>Godwill</t>
  </si>
  <si>
    <t>Changes in Inventories (FG, WIP &amp; SIT)</t>
  </si>
  <si>
    <t>Other intangible assets</t>
  </si>
  <si>
    <t>Financial assets:</t>
  </si>
  <si>
    <t>Employee Benefit Expense</t>
  </si>
  <si>
    <t xml:space="preserve">     Investment in subsidiaries &amp; joint venture</t>
  </si>
  <si>
    <t>Finance Costs</t>
  </si>
  <si>
    <t>Depreciation &amp; Amortisation Expense</t>
  </si>
  <si>
    <t>Other Expenses</t>
  </si>
  <si>
    <t xml:space="preserve">     Investment</t>
  </si>
  <si>
    <t xml:space="preserve">     Loans</t>
  </si>
  <si>
    <t>Total Expenses</t>
  </si>
  <si>
    <t xml:space="preserve">     Other financial assets</t>
  </si>
  <si>
    <t>PBIT (Before Exceptional Items &amp; Tax)</t>
  </si>
  <si>
    <t>Non-current tax assets</t>
  </si>
  <si>
    <t>Other non-current assets</t>
  </si>
  <si>
    <t>Exceptional Items</t>
  </si>
  <si>
    <t>Total non-current assets (A)</t>
  </si>
  <si>
    <t>Profit Before Tax</t>
  </si>
  <si>
    <t>Current Tax</t>
  </si>
  <si>
    <t>Deferred Tax</t>
  </si>
  <si>
    <t>Profit After Tax</t>
  </si>
  <si>
    <t>Current assets:</t>
  </si>
  <si>
    <t xml:space="preserve">    Trade receivable</t>
  </si>
  <si>
    <t xml:space="preserve">    Cash and cash equivalents</t>
  </si>
  <si>
    <t xml:space="preserve">    Bank balances</t>
  </si>
  <si>
    <t xml:space="preserve">    Other financial assets</t>
  </si>
  <si>
    <t>1. The company’s total income increased by 1.96%, mainly due to a rise in revenue and strong growth in other income.</t>
  </si>
  <si>
    <t>Other current assets</t>
  </si>
  <si>
    <t>2. Total expenses grew slightly by 2.29%, with significant increases in finance costs, depreciation, and employee expenses.</t>
  </si>
  <si>
    <t>Assets held for sale</t>
  </si>
  <si>
    <t>3. This trend indicates expanding operations and a higher cost of capital. The cost of materials consumed declined slightly, while purchases of stock-in-trade increased, suggesting possible changes in sourcing or product mix.</t>
  </si>
  <si>
    <t>Total current assets (B)</t>
  </si>
  <si>
    <t>4. Profit Before Tax rose by 4.57%, helped by controlled expenses and higher income. Despite a small rise in tax expenses, Profit After Tax improved by 5.24%, showing stronger overall performance.</t>
  </si>
  <si>
    <t>5. Overall, the company shows stable revenue growth, effective cost control, and improved profitability. This reflects a healthy operational performance for the year.</t>
  </si>
  <si>
    <t>Total assets (A+B)</t>
  </si>
  <si>
    <t>Total Current Liabilities</t>
  </si>
  <si>
    <t>Total Equity &amp; Liabilities</t>
  </si>
  <si>
    <t>Non-current assets</t>
  </si>
  <si>
    <t>Trend Percentage</t>
  </si>
  <si>
    <t>Trend Graph</t>
  </si>
  <si>
    <t>2020-21</t>
  </si>
  <si>
    <t>Investment in Subsidiaries</t>
  </si>
  <si>
    <t>2021-22</t>
  </si>
  <si>
    <t>2022-23</t>
  </si>
  <si>
    <t>2020-21 (%)</t>
  </si>
  <si>
    <t>2021-22 (%)</t>
  </si>
  <si>
    <t>2022-23 (%)</t>
  </si>
  <si>
    <t>2023-24 (%)</t>
  </si>
  <si>
    <t xml:space="preserve">Loans </t>
  </si>
  <si>
    <t>2024-25 (%)</t>
  </si>
  <si>
    <t xml:space="preserve">Other Financial Assets </t>
  </si>
  <si>
    <t>Current Assets</t>
  </si>
  <si>
    <t xml:space="preserve">Investments </t>
  </si>
  <si>
    <t>Trade Receivable</t>
  </si>
  <si>
    <t>Ratio Analysis</t>
  </si>
  <si>
    <t>Name of the Ratio</t>
  </si>
  <si>
    <t>Numerator</t>
  </si>
  <si>
    <t>Denominator</t>
  </si>
  <si>
    <t>FY. 2020-21</t>
  </si>
  <si>
    <t>FY. 2021-22</t>
  </si>
  <si>
    <t>FY. 2022-23</t>
  </si>
  <si>
    <t>FY. 2023-24</t>
  </si>
  <si>
    <t>FY. 2024-25</t>
  </si>
  <si>
    <t>Trend</t>
  </si>
  <si>
    <t>Non Current liabilities</t>
  </si>
  <si>
    <t xml:space="preserve"> Current Ratio 
(in times)</t>
  </si>
  <si>
    <t>Current assets</t>
  </si>
  <si>
    <t>Current liabilities</t>
  </si>
  <si>
    <t>Total Current Assets (B)</t>
  </si>
  <si>
    <t xml:space="preserve"> Debt - Equity Ratio 
(in times)</t>
  </si>
  <si>
    <t>Total debt</t>
  </si>
  <si>
    <t>Equity</t>
  </si>
  <si>
    <t>Total Assets (A+B)</t>
  </si>
  <si>
    <t xml:space="preserve"> Debt Service 
coverage ratio*  
(in times)</t>
  </si>
  <si>
    <t xml:space="preserve"> Earnings available for 
debt service</t>
  </si>
  <si>
    <t>Total debt service</t>
  </si>
  <si>
    <t>Return on equity 
(in %)</t>
  </si>
  <si>
    <t>Net profit - preferred 
dividends</t>
  </si>
  <si>
    <t>Average shareholder 
equity</t>
  </si>
  <si>
    <t xml:space="preserve"> Inventory Turnover 
Ratio (in times)</t>
  </si>
  <si>
    <t>Sales</t>
  </si>
  <si>
    <t xml:space="preserve"> Average inventory</t>
  </si>
  <si>
    <t>Trade receivables 
turnover ratio  
(in times)</t>
  </si>
  <si>
    <t>Average accounts 
receivables</t>
  </si>
  <si>
    <t>1. The common-size balance sheet reveals that equity is still the main source of financing, but its share has decreased from about 69% in 2020-21 to 62.76% in 2024-25.</t>
  </si>
  <si>
    <t>2. This shows a gradual move toward financing through liabilities. Non-current liabilities have risen as a percentage of total assets, especially lease and tax liabilities, which suggests that long-term obligations are growing.</t>
  </si>
  <si>
    <t>Trade payables 
turnover ratio  
(in times)</t>
  </si>
  <si>
    <t>Net purchases</t>
  </si>
  <si>
    <t xml:space="preserve"> Average trade 
payables</t>
  </si>
  <si>
    <t>3. Current liabilities have also increased significantly, rising from around 15-16% to 20.01% in 2024. This indicates a higher commitment to short-term operations and more dependence on supplier credit.</t>
  </si>
  <si>
    <t xml:space="preserve"> Net capital turnover 
ratio (in times)</t>
  </si>
  <si>
    <t>Working Capital</t>
  </si>
  <si>
    <t>4. Within current liabilities, trade payables make up the largest portion, highlighting reliance on credit terms for working capital.</t>
  </si>
  <si>
    <t>Other Non-Current Tax Liabilities</t>
  </si>
  <si>
    <t>5. On the asset side, non-current assets still hold the majority share, though they have decreased from 79% to 73%. This indicates a shift toward current assets.</t>
  </si>
  <si>
    <t>Net profit ratio 
(in %)</t>
  </si>
  <si>
    <t>Net profit</t>
  </si>
  <si>
    <t xml:space="preserve"> Sales</t>
  </si>
  <si>
    <t>6. Goodwill and intangibles remain significant, reflecting the company’s reliance on intangible-driven business.</t>
  </si>
  <si>
    <t>7. Meanwhile, current assets increased from 20% to nearly 27%, fueled by higher cash balances and rising trade receivables. This shows better liquidity but also slower collection times.</t>
  </si>
  <si>
    <t xml:space="preserve"> Return on capital 
employed (in %)</t>
  </si>
  <si>
    <t xml:space="preserve"> Earning before 
interest and taxes</t>
  </si>
  <si>
    <t>Capital employed</t>
  </si>
  <si>
    <t>8. Overall, the company is moving from financing primarily through equity to a more balanced combination of long-term and short-term liabilities, while improving its liquidity.</t>
  </si>
  <si>
    <t>9. However, the rise in payables and receivables suggests a need for better management of working capital.</t>
  </si>
  <si>
    <t>Return on investment 
(in %)</t>
  </si>
  <si>
    <t>Profit</t>
  </si>
  <si>
    <t>Common Size Profit and Loss Statement</t>
  </si>
  <si>
    <t>Percentage of Net Revenue from operations</t>
  </si>
  <si>
    <t>2020-21  %</t>
  </si>
  <si>
    <t>2021-22  %</t>
  </si>
  <si>
    <t>2022-23  %</t>
  </si>
  <si>
    <t>2023-24  %</t>
  </si>
  <si>
    <t>2024-25  %</t>
  </si>
  <si>
    <t>Revenue from operations</t>
  </si>
  <si>
    <t>Other income</t>
  </si>
  <si>
    <t>Depreciation &amp; amortisation</t>
  </si>
  <si>
    <t>Profit Before Tax (PBT)</t>
  </si>
  <si>
    <t>Profit After Tax (PAT)</t>
  </si>
  <si>
    <t>DUPONT ANALYSIS</t>
  </si>
  <si>
    <t>(Amount in crores)</t>
  </si>
  <si>
    <t>Year</t>
  </si>
  <si>
    <t xml:space="preserve">Revenue </t>
  </si>
  <si>
    <t xml:space="preserve">Net Income </t>
  </si>
  <si>
    <t xml:space="preserve"> 1. The common-size profit and loss statement shows a stable revenue structure. Revenue from operations consistently contributes about 98 to 99% of total income, highlighting a strong reliance on core business activities.</t>
  </si>
  <si>
    <t>2. Other income remains very small but has gradually increased, providing minor support to total income.</t>
  </si>
  <si>
    <t>Gross Profit</t>
  </si>
  <si>
    <t xml:space="preserve">Operating Income </t>
  </si>
  <si>
    <t>3. On the cost side, material consumption and stock-in-trade make up the largest expense group. However, their proportions have slightly decreased over time, suggesting improved cost efficiency or changes in sourcing and product mix.</t>
  </si>
  <si>
    <t xml:space="preserve">EBITDA </t>
  </si>
  <si>
    <t>4. Employee benefit expenses remain steady at about 4.5 to 4.8%, indicating controlled workforce costs. Finance costs have stayed very low but increased slightly in 2024 to 2025, reflecting minor rises in borrowing or interest obligations.</t>
  </si>
  <si>
    <t>EPS (₹)</t>
  </si>
  <si>
    <t>Non Current Assets</t>
  </si>
  <si>
    <t>5. Depreciation and amortization remain stable at around 1.7 to 2%, showing consistent asset usage patterns. Other expenses account for a major portion at 21 to 23%, indicating significant operational spending, though still within normal ranges.</t>
  </si>
  <si>
    <t>Property, Plant &amp; Equipment</t>
  </si>
  <si>
    <t xml:space="preserve">Total Assets </t>
  </si>
  <si>
    <t>6. Overall, total expenses stay around 77 to 78% of revenue, providing the company with a healthy operating margin. Profit Before Tax and Profit After Tax percentages are stable but show slight improvements in 2024 to 2025, demonstrating disciplined cost management and steady revenue growth.</t>
  </si>
  <si>
    <t xml:space="preserve">Total Liabilities </t>
  </si>
  <si>
    <t>7. The company shows strong profitability and effective control over major expense categories over the five-year period.</t>
  </si>
  <si>
    <t xml:space="preserve">Shareholder's Fund </t>
  </si>
  <si>
    <t>Current Ratio</t>
  </si>
  <si>
    <t>Debt To Equity Ratio</t>
  </si>
  <si>
    <t>Return On Equity (ROE)</t>
  </si>
  <si>
    <t>Return On Assets (ROA)</t>
  </si>
  <si>
    <t>Total Equity (₹ in crores)</t>
  </si>
  <si>
    <t>Capital Work-in-Progress</t>
  </si>
  <si>
    <t>Dupont Values In Percentage</t>
  </si>
  <si>
    <t>Other Intangible Assets</t>
  </si>
  <si>
    <t>Interpretation</t>
  </si>
  <si>
    <t>1.)The company's ROE has shown a consistent  improvement over the five-year period, rising from 16.77% to 21.65%. This shows that the company is generating significantly more profit for each unit of shareholder equity</t>
  </si>
  <si>
    <t>Non-Current Tax Assets</t>
  </si>
  <si>
    <t>Z Score</t>
  </si>
  <si>
    <t>2.)The Net Profit Margin has remained remarkably stable, fluctuating in a very tight band between ~16.7% and 17.3%.The company has maintained strong control over its costs relative to its revenue.</t>
  </si>
  <si>
    <t>Other Non-Current Assets</t>
  </si>
  <si>
    <t>Z-Score Range</t>
  </si>
  <si>
    <t>3.)The Asset Turnover ratio improved  from 0.68 to 0.82 between 2020-21 and 2022-23, before settling at 0.78 for the last two years.</t>
  </si>
  <si>
    <t>Total Non-Current Assets</t>
  </si>
  <si>
    <t>&gt; 2.90</t>
  </si>
  <si>
    <t>Safe Zone (Low probability of bankruptcy)</t>
  </si>
  <si>
    <t>1.23 - 2.90</t>
  </si>
  <si>
    <t>4.)The Equity Multiplier was stable around 1.43-1.44 for the first three years but then increased noticeably to 1.51 and then 1.59 in the last two years.</t>
  </si>
  <si>
    <t>Grey Zone (Moderate risk of bankruptcy)</t>
  </si>
  <si>
    <t>&lt; 1.23</t>
  </si>
  <si>
    <t>Distress Zone (High probability of bankruptcy)</t>
  </si>
  <si>
    <t>5.)he improvement in ROE was primarily driven by a sharp increase in Asset Turnover. The company grew its revenue much faster than its asset base, becoming more efficient. Profit margins were stable, and leverage was unchanged.(2020-21 to 2022-23)</t>
  </si>
  <si>
    <t xml:space="preserve">Working Capital </t>
  </si>
  <si>
    <t>Retained Earnings</t>
  </si>
  <si>
    <t xml:space="preserve">EBIT </t>
  </si>
  <si>
    <t xml:space="preserve">Sales </t>
  </si>
  <si>
    <t>Altman Z-Score</t>
  </si>
  <si>
    <t>6.)The continued improvement in ROE is now primarily driven by an increase in financial leverage. The company is taking on more debt to finance its operations.(2023-24 to 2024-2025)</t>
  </si>
  <si>
    <t>Altman Z-Score Component Calculations</t>
  </si>
  <si>
    <t>Component</t>
  </si>
  <si>
    <t>Formula</t>
  </si>
  <si>
    <t>Working Capital (WC)</t>
  </si>
  <si>
    <t>Current Assets - Current Liabilities</t>
  </si>
  <si>
    <t>Retained Earnings (RE)</t>
  </si>
  <si>
    <t>Other Equity (from Balance Sheet)</t>
  </si>
  <si>
    <t>EBIT</t>
  </si>
  <si>
    <t>Profit before exceptional items &amp; tax</t>
  </si>
  <si>
    <t>Market Value of Equity (MVE)</t>
  </si>
  <si>
    <t>Total Equity (Book Value used as proxy)</t>
  </si>
  <si>
    <t>Total Assets (TA)</t>
  </si>
  <si>
    <t>Total Assets</t>
  </si>
  <si>
    <t>Total Liabilities (TL)</t>
  </si>
  <si>
    <t>Total Liabilities</t>
  </si>
  <si>
    <t>Altman Z-Score Ratio Calculations and Final Score</t>
  </si>
  <si>
    <t>Ratio</t>
  </si>
  <si>
    <t>Component &amp; Weight</t>
  </si>
  <si>
    <t>A</t>
  </si>
  <si>
    <t xml:space="preserve">WC/TA </t>
  </si>
  <si>
    <t>B</t>
  </si>
  <si>
    <t xml:space="preserve">RE/TA </t>
  </si>
  <si>
    <t>C</t>
  </si>
  <si>
    <t xml:space="preserve">EBIT/TA </t>
  </si>
  <si>
    <t>D</t>
  </si>
  <si>
    <t xml:space="preserve">MVE/TL </t>
  </si>
  <si>
    <t>Inferenes &amp; Analyses</t>
  </si>
  <si>
    <t>E</t>
  </si>
  <si>
    <t xml:space="preserve">Sales/TA </t>
  </si>
  <si>
    <t>1. The trend analysis shows steady growth in total assets and total equity and liabilities, rising from 100% in 2020-21 to 114.95% in 2024-25. This indicates continuous expansion.</t>
  </si>
  <si>
    <t>2. Equity grew moderately, suggesting stable internal financing. However, other equity peaked in 2023-24 before dipping in 2024-25, indicating reduced reserves or profit retention in the last year.</t>
  </si>
  <si>
    <t xml:space="preserve">Weighted Values </t>
  </si>
  <si>
    <t>3. Non-current liabilities show strong upward trends, especially in deferred tax liabilities, lease liabilities, and other non-current tax liabilities.</t>
  </si>
  <si>
    <t>4. These have increased significantly, with some rising more than 150% to 260%. This suggests growing long-term obligations or changes in tax or timing adjustments.</t>
  </si>
  <si>
    <t>1.2A</t>
  </si>
  <si>
    <t>5. Current liabilities grew sharply to 144.55% by 2024-25, mainly driven by rising trade payables, provisions, and other current liabilities. This indicates a heavier reliance on short-term financing and higher working capital pressure.</t>
  </si>
  <si>
    <t>6. On the asset side, non-current assets grew steadily, particularly Property, Plant and Equipment, Capital Work-in-Progress, and Other Non-current Assets. This shows consistent investment in long-term capacity.</t>
  </si>
  <si>
    <t>7. Current assets increased strongly to 153.29%, led by significant growth in inventories, receivables, and cash balances. This signals improved liquidity but also rising operational requirements. Overall, the company is expanding with increasing asset levels and stronger long-term investments.</t>
  </si>
  <si>
    <t>1.4B</t>
  </si>
  <si>
    <t>3.3C</t>
  </si>
  <si>
    <t>0.6D</t>
  </si>
  <si>
    <t>Trend Analysis of Profit and Loss statement</t>
  </si>
  <si>
    <t>1.0E</t>
  </si>
  <si>
    <t>F  SCORE</t>
  </si>
  <si>
    <t>Final Z-Score</t>
  </si>
  <si>
    <t>Sum of All Components with weights (A:E)</t>
  </si>
  <si>
    <t>Criteria</t>
  </si>
  <si>
    <t>Calculation</t>
  </si>
  <si>
    <t>Score</t>
  </si>
  <si>
    <t>1. Positive Net Income</t>
  </si>
  <si>
    <t>7,954 &gt; 0</t>
  </si>
  <si>
    <t>2. Positive Operating Cash Flow</t>
  </si>
  <si>
    <t>8,957 &gt; 0</t>
  </si>
  <si>
    <t>3. Higher ROA</t>
  </si>
  <si>
    <t>(7,954/68,116) = 11.68% &gt; (6,738/19,402) = 34.73%</t>
  </si>
  <si>
    <t>4. Operating CF &gt; Net Income</t>
  </si>
  <si>
    <t>8,957 &gt; 7,954</t>
  </si>
  <si>
    <t>5. Lower Leverage</t>
  </si>
  <si>
    <t>(679+266)/68,116 = 1.39% &gt; (833+360)/19,402 = 6.15%</t>
  </si>
  <si>
    <t>6. Higher Current Ratio</t>
  </si>
  <si>
    <t>13,640/10,841 = 1.26 &gt; 10,958/8,762 = 1.25</t>
  </si>
  <si>
    <t>7. No New Shares</t>
  </si>
  <si>
    <t>235 &gt; 216</t>
  </si>
  <si>
    <t>Assumptions</t>
  </si>
  <si>
    <t>8. Higher Gross Margin</t>
  </si>
  <si>
    <t>(45,996-21,677)/45,996 = 52.9% &gt; (38,478-17,803)/38,478 = 53.7%</t>
  </si>
  <si>
    <t>9. Higher Asset Turnover</t>
  </si>
  <si>
    <t>45,996/19,402 = 2.37 &gt; 38,478/17,965 = 2.14</t>
  </si>
  <si>
    <t>Total F-Score 2020-21: 6</t>
  </si>
  <si>
    <t>Assumption</t>
  </si>
  <si>
    <t>Description</t>
  </si>
  <si>
    <t>Going Concern</t>
  </si>
  <si>
    <t>The company will continue operating indefinitely (or at least for the foreseeable future) and will not be forced to liquidate its assets.</t>
  </si>
  <si>
    <t>8,818 &gt; 0</t>
  </si>
  <si>
    <t>8,964 &gt; 0</t>
  </si>
  <si>
    <t>(8,818/69,737) = 12.64% &gt; 11.68%</t>
  </si>
  <si>
    <t>8,964 &gt; 8,818</t>
  </si>
  <si>
    <t>Accrual Basis</t>
  </si>
  <si>
    <t>Revenues are recorded when earned and expenses are recorded when incurred, regardless of when cash is exchanged.</t>
  </si>
  <si>
    <t>(686+329)/69,737 = 1.46% &gt; 1.39%</t>
  </si>
  <si>
    <t>14,647/10,944 = 1.34 &gt; 1.26</t>
  </si>
  <si>
    <t>235 = 235</t>
  </si>
  <si>
    <t xml:space="preserve">  1.) The Compnay has consistently been above the 2.99 z score throughout the duration pf the 5 years. This Indicates  strong financial health , the company has a very low risk of bankruptcy.</t>
  </si>
  <si>
    <t>(51,193-25,124)/51,193 = 50.9% &lt; 52.9%</t>
  </si>
  <si>
    <t>Historical Cost</t>
  </si>
  <si>
    <t>51,193/68,116 = 0.75 &gt; 45,996/68,116 = 0.68</t>
  </si>
  <si>
    <t>Assets are generally recorded at their original purchase price (cost) rather than their current market value, unless otherwise mandated (e.g., specific investments).</t>
  </si>
  <si>
    <t>Total F-Score 2021-22: 7</t>
  </si>
  <si>
    <t>2.) There is an upward trend in the Z scores from 2020-21 to 2022-23  , this upward trend peaked at 3.59 and at vlaue of z score 3.87</t>
  </si>
  <si>
    <t>Economic Entity</t>
  </si>
  <si>
    <t>The financial activities of the company are separate and distinct from the financial activities of its owners (shareholders), managers, and other business units.</t>
  </si>
  <si>
    <t>9,962 &gt; 0</t>
  </si>
  <si>
    <t>9,626 &gt; 0</t>
  </si>
  <si>
    <t>(9,962/71,825) = 13.87% &gt; 12.64%</t>
  </si>
  <si>
    <t>9,626 &gt; 9,962</t>
  </si>
  <si>
    <t>Monetary Unit</t>
  </si>
  <si>
    <t>(746+495)/71,825 = 1.73% &gt; 1.46%</t>
  </si>
  <si>
    <t>3.) This was due to increasing EBIT, SALES and other values that indicated an improved effeceincy and profitabilty throughout these years for the company.</t>
  </si>
  <si>
    <t>Financial transactions can be reliably measured and expressed in the national currency, and that currency is relatively stable (i.e., inflation is not so significant as to render the historical cost principle irrelevant).</t>
  </si>
  <si>
    <t>16,049/11,627 = 1.38 &gt; 1.34</t>
  </si>
  <si>
    <t>(59,144-31,144)/59,144 = 47.3% &lt; 50.9%</t>
  </si>
  <si>
    <t>59,144/69,737 = 0.85 &gt; 0.75</t>
  </si>
  <si>
    <t>Total F-Score 2022-23: 6</t>
  </si>
  <si>
    <t>Time Period</t>
  </si>
  <si>
    <t>The business's life can be divided into distinct, equal periods (e.g., quarters, years) for reporting and analysis.</t>
  </si>
  <si>
    <t xml:space="preserve">4.)There was a decline from the year 2023-24 to 2024-25 in Z score , which caused due to an increase in total liabilites. </t>
  </si>
  <si>
    <t>Changes in inventories (FG/WIP/SIT)</t>
  </si>
  <si>
    <t>Consistency</t>
  </si>
  <si>
    <t>The company has applied the same accounting methods and principles (e.g., depreciation, inventory valuation) from one period to the next to allow for comparability.</t>
  </si>
  <si>
    <t>10,114 &gt; 0</t>
  </si>
  <si>
    <t>14,884 &gt; 0</t>
  </si>
  <si>
    <t>5.) Despite this decrease in Z score , it still remained above the 2.99 treshold and showed that the company is still in good health financially.</t>
  </si>
  <si>
    <t>Materiality</t>
  </si>
  <si>
    <t>(10,114/77,076) = 13.12% &lt; 13.87%</t>
  </si>
  <si>
    <t>All information presented is assumed to be materially accurate and free from significant errors or omissions that would influence the decisions of a user.</t>
  </si>
  <si>
    <t>14,884 &gt; 10,114</t>
  </si>
  <si>
    <t>(1,034+430)/77,076 = 1.90% &gt; 1.73%</t>
  </si>
  <si>
    <t>20,296/12,403 = 1.64 &gt; 1.38</t>
  </si>
  <si>
    <t>(60,469-29,327)/60,469 = 51.5% &gt; 47.3%</t>
  </si>
  <si>
    <t>6.)This increase in total liabilities may have been caused due to internal adjustments within the organisation ( company).</t>
  </si>
  <si>
    <t>Full Disclosure</t>
  </si>
  <si>
    <t>60,469/71,825 = 0.84 &lt; 0.85</t>
  </si>
  <si>
    <t>All information necessary for a user to understand the financial position and performance of the company has been disclosed in the notes or body of the statements.</t>
  </si>
  <si>
    <t>Total F-Score 2023-24: 6</t>
  </si>
  <si>
    <t>Adherence to Accounting Standards</t>
  </si>
  <si>
    <t>7.) Overall the trend for this company are very positive ( z score values)</t>
  </si>
  <si>
    <t>The statements have been prepared strictly in accordance with the stated framework (GAAP or IFRS).</t>
  </si>
  <si>
    <t>10,644 &gt; 0</t>
  </si>
  <si>
    <t>Timeliness &amp; Relevance</t>
  </si>
  <si>
    <t>Any significant, recent event (e.g., acquisition, litigation) that materially impacts the company has been promptly and relevantly disclosed on the official website.</t>
  </si>
  <si>
    <t>Non-Material Change (for Preliminary Data)</t>
  </si>
  <si>
    <t>If the data is preliminary or non-audited (e.g., quarterly results before an official filing), it is assumed that the final, audited figures will not be materially different.</t>
  </si>
  <si>
    <t>Independent Verification</t>
  </si>
  <si>
    <t>The data, if audited, accurately reflects the auditor's unqualified opinion, indicating the statements are fairly presented in all material respects.</t>
  </si>
  <si>
    <t>11,606 &gt; 0</t>
  </si>
  <si>
    <t>(10,644/78,313) = 13.59% &gt; 13.12%</t>
  </si>
  <si>
    <t>11,606 &gt; 10,644</t>
  </si>
  <si>
    <t>(1,157+647)/78,313 = 2.30% &gt; 1.90%</t>
  </si>
  <si>
    <t>20,899/15,672 = 1.33 &lt; 1.64</t>
  </si>
  <si>
    <t>(61,469-30,176)/61,469 = 50.9% &lt; 51.5%</t>
  </si>
  <si>
    <t>61,469/77,076 = 0.80 &lt; 0.84</t>
  </si>
  <si>
    <t>Total F-Score 2024-25: 5</t>
  </si>
  <si>
    <t>Final F-Score Summary Table</t>
  </si>
  <si>
    <t>Financial Year</t>
  </si>
  <si>
    <t>F-Score</t>
  </si>
  <si>
    <t>Profit before tax (PBT)</t>
  </si>
  <si>
    <t>Good</t>
  </si>
  <si>
    <t>Current tax</t>
  </si>
  <si>
    <t>Average</t>
  </si>
  <si>
    <t>Deferred tax</t>
  </si>
  <si>
    <t>1.)The score improved from 6 to 7, indicating a period of strengthening financial health. This was driven by higher Return on Assets (ROA), stable share count, and improved asset turnover.( 2020-21 to 2021-22)</t>
  </si>
  <si>
    <t xml:space="preserve">2.)The company has consistently generated positive and growing net income. </t>
  </si>
  <si>
    <t>Profit after tax (PAT)</t>
  </si>
  <si>
    <t>3.)It has also consistently generated positive operating cash flow, and in most years, this cash flow has been stronger than net income</t>
  </si>
  <si>
    <t>4.)The company has not issued new shares, meaning existing shareholders have not been diluted.</t>
  </si>
  <si>
    <t>5.)The company is systematically taking on more debt(2021-22 to 2024-25).</t>
  </si>
  <si>
    <t>6.)The company's investments in new assets are not yet translating into proportional sales growth.</t>
  </si>
  <si>
    <t>1. The trend analysis shows a steady and healthy rise in total income, which increased to 134.62% by 2024-25, compared to the base year. This growth is mainly driven by consistent revenue gains from operations and a significant increase in other income.</t>
  </si>
  <si>
    <t>2. Expenses also rose over the years, reaching 136.25%. However, this increase in expenses has been mostly proportional to revenue growth, which indicates stable cost control.</t>
  </si>
  <si>
    <t>3. Key cost components, such as the cost of materials and stock purchases, show upward trends that reflect higher operational activity and a larger scale of business.</t>
  </si>
  <si>
    <t>4. Employee benefit expenses and depreciation have risen steadily with expansion. Finance costs went up significantly in later years, which suggests higher borrowings or an increased cost of capital.</t>
  </si>
  <si>
    <t>5. Even with rising expenses, Profit Before Tax (PBT) has consistently improved, reaching 132.36% in 2024-25. This highlights efficient operational performance. Profit After Tax (PAT) also rose to 133.84%, which indicates strong profitability and effective tax management.</t>
  </si>
  <si>
    <t>6. Overall, the company shows sustained revenue growth, controlled costs, and improving profitability. This reflects strong financial performance and efficient management over the five-year period.</t>
  </si>
  <si>
    <t xml:space="preserve">Decisions/suggestions/opinions </t>
  </si>
  <si>
    <t>Risk Table</t>
  </si>
  <si>
    <t>Who are You ?</t>
  </si>
  <si>
    <t>My Opinion</t>
  </si>
  <si>
    <t>Risk Level</t>
  </si>
  <si>
    <t>Share Investor</t>
  </si>
  <si>
    <t>Keep shares, don't buy more now</t>
  </si>
  <si>
    <t>Medium</t>
  </si>
  <si>
    <t>Want to Invest</t>
  </si>
  <si>
    <t>Wait for better signs</t>
  </si>
  <si>
    <t>Supplier</t>
  </si>
  <si>
    <t>Safe to supply, watch payment time</t>
  </si>
  <si>
    <t>Low</t>
  </si>
  <si>
    <t>Bank</t>
  </si>
  <si>
    <t>Give them loans confidently</t>
  </si>
  <si>
    <t>Very Low</t>
  </si>
  <si>
    <t>Job Seeker</t>
  </si>
  <si>
    <t>Good company to join</t>
  </si>
  <si>
    <t>Employee</t>
  </si>
  <si>
    <t>Job is safe, improve skills</t>
  </si>
  <si>
    <t xml:space="preserve">Financial Analysis project </t>
  </si>
  <si>
    <t>Mukesh Kumar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</si>
</sst>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47">
    <font>
      <sz val="10"/>
      <color rgb="FF000000"/>
      <name val="Arial"/>
      <scheme val="minor"/>
    </font>
    <font>
      <b/>
      <u/>
      <sz val="18"/>
      <color theme="1"/>
      <name val="Arial"/>
      <scheme val="minor"/>
    </font>
    <font>
      <b/>
      <sz val="6"/>
      <color theme="1"/>
      <name val="Arial"/>
      <scheme val="minor"/>
    </font>
    <font>
      <b/>
      <sz val="34"/>
      <color theme="1"/>
      <name val="Times"/>
    </font>
    <font>
      <sz val="10"/>
      <name val="Arial"/>
    </font>
    <font>
      <b/>
      <sz val="34"/>
      <color theme="1"/>
      <name val="Impact"/>
    </font>
    <font>
      <sz val="10"/>
      <color theme="1"/>
      <name val="Arial"/>
      <scheme val="minor"/>
    </font>
    <font>
      <b/>
      <sz val="10"/>
      <color theme="1"/>
      <name val="Arial"/>
      <scheme val="minor"/>
    </font>
    <font>
      <b/>
      <sz val="15"/>
      <color theme="1"/>
      <name val="Arial"/>
      <scheme val="minor"/>
    </font>
    <font>
      <b/>
      <sz val="20"/>
      <color theme="1"/>
      <name val="Arial"/>
      <scheme val="minor"/>
    </font>
    <font>
      <sz val="20"/>
      <color theme="1"/>
      <name val="Arial"/>
      <scheme val="minor"/>
    </font>
    <font>
      <b/>
      <sz val="11"/>
      <color rgb="FFFF0000"/>
      <name val="Arial"/>
      <scheme val="minor"/>
    </font>
    <font>
      <b/>
      <sz val="12"/>
      <color rgb="FF000000"/>
      <name val="Arial"/>
      <scheme val="minor"/>
    </font>
    <font>
      <b/>
      <sz val="12"/>
      <color theme="1"/>
      <name val="Arial"/>
      <scheme val="minor"/>
    </font>
    <font>
      <b/>
      <sz val="11"/>
      <color rgb="FF000000"/>
      <name val="Arial"/>
      <scheme val="minor"/>
    </font>
    <font>
      <b/>
      <sz val="10"/>
      <color rgb="FF000000"/>
      <name val="Arial"/>
      <scheme val="minor"/>
    </font>
    <font>
      <b/>
      <sz val="11"/>
      <color theme="1"/>
      <name val="Arial"/>
      <scheme val="minor"/>
    </font>
    <font>
      <sz val="10"/>
      <color rgb="FF1F243C"/>
      <name val="Arial"/>
      <scheme val="minor"/>
    </font>
    <font>
      <sz val="10"/>
      <color theme="1"/>
      <name val="Arial"/>
      <scheme val="minor"/>
    </font>
    <font>
      <sz val="10"/>
      <color rgb="FF000000"/>
      <name val="Arial"/>
    </font>
    <font>
      <sz val="11"/>
      <color rgb="FF000000"/>
      <name val="Calibri"/>
    </font>
    <font>
      <sz val="10"/>
      <color rgb="FFFF9900"/>
      <name val="Arial"/>
      <scheme val="minor"/>
    </font>
    <font>
      <sz val="10"/>
      <color rgb="FFFF0000"/>
      <name val="Arial"/>
      <scheme val="minor"/>
    </font>
    <font>
      <sz val="10"/>
      <color rgb="FF00FF00"/>
      <name val="Arial"/>
      <scheme val="minor"/>
    </font>
    <font>
      <b/>
      <sz val="10"/>
      <color theme="1"/>
      <name val="Arial"/>
      <scheme val="minor"/>
    </font>
    <font>
      <b/>
      <u/>
      <sz val="15"/>
      <color theme="1"/>
      <name val="Arial"/>
      <scheme val="minor"/>
    </font>
    <font>
      <b/>
      <u/>
      <sz val="15"/>
      <color theme="1"/>
      <name val="Arial"/>
      <scheme val="minor"/>
    </font>
    <font>
      <sz val="10"/>
      <color theme="1"/>
      <name val="Arial"/>
    </font>
    <font>
      <b/>
      <sz val="18"/>
      <color theme="1"/>
      <name val="Arial"/>
    </font>
    <font>
      <b/>
      <sz val="10"/>
      <color theme="1"/>
      <name val="Arial"/>
    </font>
    <font>
      <sz val="15"/>
      <color theme="1"/>
      <name val="Arial"/>
    </font>
    <font>
      <b/>
      <sz val="14"/>
      <color theme="1"/>
      <name val="Arial"/>
    </font>
    <font>
      <b/>
      <sz val="15"/>
      <color theme="1"/>
      <name val="Arial"/>
    </font>
    <font>
      <sz val="10"/>
      <color rgb="FF000000"/>
      <name val="Arial"/>
    </font>
    <font>
      <b/>
      <sz val="14"/>
      <color rgb="FF000000"/>
      <name val="Arial"/>
    </font>
    <font>
      <b/>
      <sz val="19"/>
      <color theme="1"/>
      <name val="Arial"/>
      <scheme val="minor"/>
    </font>
    <font>
      <b/>
      <sz val="14"/>
      <color theme="1"/>
      <name val="Arial"/>
      <scheme val="minor"/>
    </font>
    <font>
      <b/>
      <sz val="13"/>
      <color theme="1"/>
      <name val="Arial"/>
      <scheme val="minor"/>
    </font>
    <font>
      <sz val="10"/>
      <color theme="1"/>
      <name val="Google Sans Text"/>
    </font>
    <font>
      <b/>
      <sz val="10"/>
      <color theme="1"/>
      <name val="Google Sans Text"/>
    </font>
    <font>
      <b/>
      <sz val="17"/>
      <color theme="1"/>
      <name val="Arial"/>
    </font>
    <font>
      <b/>
      <sz val="18"/>
      <color theme="1"/>
      <name val="Arial"/>
      <scheme val="minor"/>
    </font>
    <font>
      <sz val="15"/>
      <color theme="1"/>
      <name val="Arial"/>
      <scheme val="minor"/>
    </font>
    <font>
      <b/>
      <sz val="22"/>
      <color theme="1"/>
      <name val="Comfortaa"/>
    </font>
    <font>
      <b/>
      <sz val="17"/>
      <color theme="1"/>
      <name val="Comic Sans MS"/>
    </font>
    <font>
      <b/>
      <sz val="18"/>
      <color theme="1"/>
      <name val="Times"/>
    </font>
    <font>
      <b/>
      <sz val="24"/>
      <color theme="1"/>
      <name val="Arial"/>
      <scheme val="minor"/>
    </font>
  </fonts>
  <fills count="11">
    <fill>
      <patternFill patternType="none"/>
    </fill>
    <fill>
      <patternFill patternType="gray125"/>
    </fill>
    <fill>
      <patternFill patternType="solid">
        <fgColor rgb="FFFFFF00"/>
        <bgColor rgb="FFFFFF00"/>
      </patternFill>
    </fill>
    <fill>
      <patternFill patternType="solid">
        <fgColor rgb="FFF4CCCC"/>
        <bgColor rgb="FFF4CCCC"/>
      </patternFill>
    </fill>
    <fill>
      <patternFill patternType="solid">
        <fgColor rgb="FFB7B7B7"/>
        <bgColor rgb="FFB7B7B7"/>
      </patternFill>
    </fill>
    <fill>
      <patternFill patternType="solid">
        <fgColor rgb="FFFFFFFF"/>
        <bgColor rgb="FFFFFFFF"/>
      </patternFill>
    </fill>
    <fill>
      <patternFill patternType="solid">
        <fgColor rgb="FFCCCCCC"/>
        <bgColor rgb="FFCCCCCC"/>
      </patternFill>
    </fill>
    <fill>
      <patternFill patternType="solid">
        <fgColor theme="0"/>
        <bgColor theme="0"/>
      </patternFill>
    </fill>
    <fill>
      <patternFill patternType="solid">
        <fgColor rgb="FF00FF00"/>
        <bgColor rgb="FF00FF00"/>
      </patternFill>
    </fill>
    <fill>
      <patternFill patternType="solid">
        <fgColor rgb="FF00FFFF"/>
        <bgColor rgb="FF00FFFF"/>
      </patternFill>
    </fill>
    <fill>
      <patternFill patternType="solid">
        <fgColor rgb="FF6FA8DC"/>
        <bgColor rgb="FF6FA8DC"/>
      </patternFill>
    </fill>
  </fills>
  <borders count="67">
    <border>
      <left/>
      <right/>
      <top/>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thin">
        <color rgb="FF000000"/>
      </left>
      <right/>
      <top style="thin">
        <color rgb="FF000000"/>
      </top>
      <bottom/>
      <diagonal/>
    </border>
    <border>
      <left/>
      <right/>
      <top style="thin">
        <color rgb="FF000000"/>
      </top>
      <bottom/>
      <diagonal/>
    </border>
    <border>
      <left style="medium">
        <color rgb="FF00FF00"/>
      </left>
      <right/>
      <top style="medium">
        <color rgb="FF00FF00"/>
      </top>
      <bottom style="medium">
        <color rgb="FF00FF00"/>
      </bottom>
      <diagonal/>
    </border>
    <border>
      <left/>
      <right/>
      <top style="medium">
        <color rgb="FF00FF00"/>
      </top>
      <bottom style="medium">
        <color rgb="FF00FF00"/>
      </bottom>
      <diagonal/>
    </border>
    <border>
      <left/>
      <right style="medium">
        <color rgb="FF00FF00"/>
      </right>
      <top style="medium">
        <color rgb="FF00FF00"/>
      </top>
      <bottom style="medium">
        <color rgb="FF00FF00"/>
      </bottom>
      <diagonal/>
    </border>
    <border>
      <left style="thin">
        <color rgb="FF000000"/>
      </left>
      <right/>
      <top/>
      <bottom/>
      <diagonal/>
    </border>
    <border>
      <left style="thin">
        <color rgb="FFFF00FF"/>
      </left>
      <right/>
      <top style="thin">
        <color rgb="FFFF00FF"/>
      </top>
      <bottom style="thin">
        <color rgb="FFFF00FF"/>
      </bottom>
      <diagonal/>
    </border>
    <border>
      <left style="medium">
        <color rgb="FF000000"/>
      </left>
      <right/>
      <top style="medium">
        <color rgb="FF000000"/>
      </top>
      <bottom style="medium">
        <color rgb="FF000000"/>
      </bottom>
      <diagonal/>
    </border>
    <border>
      <left/>
      <right/>
      <top style="thin">
        <color rgb="FFFF00FF"/>
      </top>
      <bottom style="thin">
        <color rgb="FFFF00FF"/>
      </bottom>
      <diagonal/>
    </border>
    <border>
      <left/>
      <right style="thin">
        <color rgb="FFFF00FF"/>
      </right>
      <top style="thin">
        <color rgb="FFFF00FF"/>
      </top>
      <bottom style="thin">
        <color rgb="FFFF00FF"/>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style="double">
        <color rgb="FF000000"/>
      </right>
      <top style="double">
        <color rgb="FF000000"/>
      </top>
      <bottom style="double">
        <color rgb="FF000000"/>
      </bottom>
      <diagonal/>
    </border>
    <border>
      <left style="double">
        <color rgb="FF000000"/>
      </left>
      <right style="double">
        <color rgb="FF000000"/>
      </right>
      <top style="double">
        <color rgb="FF000000"/>
      </top>
      <bottom style="double">
        <color rgb="FF000000"/>
      </bottom>
      <diagonal/>
    </border>
    <border>
      <left/>
      <right/>
      <top style="thick">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ck">
        <color rgb="FF000000"/>
      </bottom>
      <diagonal/>
    </border>
    <border>
      <left style="medium">
        <color rgb="FFFBBC04"/>
      </left>
      <right/>
      <top style="medium">
        <color rgb="FFFBBC04"/>
      </top>
      <bottom style="medium">
        <color rgb="FFFBBC04"/>
      </bottom>
      <diagonal/>
    </border>
    <border>
      <left/>
      <right/>
      <top style="medium">
        <color rgb="FFFBBC04"/>
      </top>
      <bottom style="medium">
        <color rgb="FFFBBC04"/>
      </bottom>
      <diagonal/>
    </border>
    <border>
      <left/>
      <right style="medium">
        <color rgb="FFFBBC04"/>
      </right>
      <top style="medium">
        <color rgb="FFFBBC04"/>
      </top>
      <bottom style="medium">
        <color rgb="FFFBBC04"/>
      </bottom>
      <diagonal/>
    </border>
    <border>
      <left style="medium">
        <color rgb="FFFBBC04"/>
      </left>
      <right style="medium">
        <color rgb="FFFBBC04"/>
      </right>
      <top style="medium">
        <color rgb="FFFBBC04"/>
      </top>
      <bottom/>
      <diagonal/>
    </border>
    <border>
      <left style="thin">
        <color rgb="FFFBBC04"/>
      </left>
      <right style="thin">
        <color rgb="FFFBBC04"/>
      </right>
      <top style="thin">
        <color rgb="FFFBBC04"/>
      </top>
      <bottom style="thin">
        <color rgb="FFFBBC04"/>
      </bottom>
      <diagonal/>
    </border>
  </borders>
  <cellStyleXfs count="1">
    <xf numFmtId="0" fontId="0" fillId="0" borderId="0"/>
  </cellStyleXfs>
  <cellXfs count="307">
    <xf numFmtId="0" fontId="0" fillId="0" borderId="0" xfId="0" applyFont="1" applyAlignment="1"/>
    <xf numFmtId="0" fontId="1" fillId="0" borderId="0" xfId="0" applyFont="1" applyAlignment="1">
      <alignment horizontal="center"/>
    </xf>
    <xf numFmtId="0" fontId="2" fillId="0" borderId="0" xfId="0" applyFont="1" applyAlignment="1">
      <alignment horizontal="left"/>
    </xf>
    <xf numFmtId="0" fontId="5" fillId="0" borderId="0" xfId="0" applyFont="1" applyAlignment="1">
      <alignment horizontal="center"/>
    </xf>
    <xf numFmtId="0" fontId="6" fillId="0" borderId="4" xfId="0" applyFont="1" applyBorder="1"/>
    <xf numFmtId="0" fontId="7" fillId="0" borderId="0" xfId="0" applyFont="1" applyAlignment="1"/>
    <xf numFmtId="0" fontId="8" fillId="0" borderId="5" xfId="0" applyFont="1" applyBorder="1" applyAlignment="1">
      <alignment horizontal="center"/>
    </xf>
    <xf numFmtId="0" fontId="7" fillId="0" borderId="0" xfId="0" applyFont="1" applyAlignment="1"/>
    <xf numFmtId="0" fontId="10" fillId="0" borderId="0" xfId="0" applyFont="1" applyAlignment="1">
      <alignment horizontal="center"/>
    </xf>
    <xf numFmtId="0" fontId="6" fillId="0" borderId="5" xfId="0" applyFont="1" applyBorder="1"/>
    <xf numFmtId="0" fontId="6" fillId="0" borderId="9" xfId="0" applyFont="1" applyBorder="1"/>
    <xf numFmtId="0" fontId="13" fillId="0" borderId="0" xfId="0" applyFont="1" applyAlignment="1">
      <alignment horizontal="center"/>
    </xf>
    <xf numFmtId="0" fontId="13" fillId="3" borderId="16" xfId="0" applyFont="1" applyFill="1" applyBorder="1" applyAlignment="1"/>
    <xf numFmtId="0" fontId="13" fillId="3" borderId="17" xfId="0" applyFont="1" applyFill="1" applyBorder="1" applyAlignment="1"/>
    <xf numFmtId="0" fontId="13" fillId="3" borderId="19" xfId="0" applyFont="1" applyFill="1" applyBorder="1" applyAlignment="1"/>
    <xf numFmtId="0" fontId="14" fillId="0" borderId="0" xfId="0" applyFont="1" applyAlignment="1"/>
    <xf numFmtId="0" fontId="15" fillId="0" borderId="20" xfId="0" applyFont="1" applyBorder="1" applyAlignment="1"/>
    <xf numFmtId="0" fontId="13" fillId="0" borderId="0" xfId="0" applyFont="1" applyAlignment="1"/>
    <xf numFmtId="0" fontId="15" fillId="0" borderId="20" xfId="0" applyFont="1" applyBorder="1" applyAlignment="1"/>
    <xf numFmtId="0" fontId="0" fillId="0" borderId="0" xfId="0" applyFont="1" applyAlignment="1"/>
    <xf numFmtId="0" fontId="0" fillId="0" borderId="21" xfId="0" applyFont="1" applyBorder="1" applyAlignment="1"/>
    <xf numFmtId="0" fontId="7" fillId="0" borderId="20" xfId="0" applyFont="1" applyBorder="1" applyAlignment="1"/>
    <xf numFmtId="0" fontId="6" fillId="0" borderId="20" xfId="0" applyFont="1" applyBorder="1"/>
    <xf numFmtId="0" fontId="0" fillId="0" borderId="21" xfId="0" applyFont="1" applyBorder="1" applyAlignment="1">
      <alignment horizontal="right"/>
    </xf>
    <xf numFmtId="9" fontId="0" fillId="0" borderId="21" xfId="0" applyNumberFormat="1" applyFont="1" applyBorder="1" applyAlignment="1">
      <alignment horizontal="right"/>
    </xf>
    <xf numFmtId="0" fontId="0" fillId="0" borderId="0" xfId="0" applyFont="1" applyAlignment="1">
      <alignment horizontal="right"/>
    </xf>
    <xf numFmtId="0" fontId="6" fillId="0" borderId="21" xfId="0" applyFont="1" applyBorder="1" applyAlignment="1"/>
    <xf numFmtId="0" fontId="6" fillId="0" borderId="21" xfId="0" applyFont="1" applyBorder="1"/>
    <xf numFmtId="10" fontId="0" fillId="0" borderId="0" xfId="0" applyNumberFormat="1" applyFont="1" applyAlignment="1">
      <alignment horizontal="right"/>
    </xf>
    <xf numFmtId="0" fontId="6" fillId="0" borderId="0" xfId="0" applyFont="1" applyAlignment="1"/>
    <xf numFmtId="0" fontId="7" fillId="0" borderId="21" xfId="0" applyFont="1" applyBorder="1" applyAlignment="1"/>
    <xf numFmtId="0" fontId="7" fillId="0" borderId="21" xfId="0" applyFont="1" applyBorder="1"/>
    <xf numFmtId="10" fontId="0" fillId="0" borderId="21" xfId="0" applyNumberFormat="1" applyFont="1" applyBorder="1" applyAlignment="1">
      <alignment horizontal="right"/>
    </xf>
    <xf numFmtId="0" fontId="15" fillId="0" borderId="0" xfId="0" applyFont="1" applyAlignment="1">
      <alignment horizontal="right"/>
    </xf>
    <xf numFmtId="10" fontId="15" fillId="0" borderId="0" xfId="0" applyNumberFormat="1" applyFont="1" applyAlignment="1">
      <alignment horizontal="right"/>
    </xf>
    <xf numFmtId="0" fontId="15" fillId="0" borderId="21" xfId="0" applyFont="1" applyBorder="1" applyAlignment="1"/>
    <xf numFmtId="0" fontId="0" fillId="0" borderId="21" xfId="0" applyFont="1" applyBorder="1" applyAlignment="1"/>
    <xf numFmtId="0" fontId="7" fillId="0" borderId="0" xfId="0" applyFont="1"/>
    <xf numFmtId="0" fontId="7" fillId="0" borderId="22" xfId="0" applyFont="1" applyBorder="1" applyAlignment="1"/>
    <xf numFmtId="0" fontId="7" fillId="0" borderId="22" xfId="0" applyFont="1" applyBorder="1"/>
    <xf numFmtId="0" fontId="7" fillId="0" borderId="23" xfId="0" applyFont="1" applyBorder="1" applyAlignment="1"/>
    <xf numFmtId="0" fontId="7" fillId="0" borderId="23" xfId="0" applyFont="1" applyBorder="1"/>
    <xf numFmtId="0" fontId="0" fillId="0" borderId="22" xfId="0" applyFont="1" applyBorder="1" applyAlignment="1"/>
    <xf numFmtId="0" fontId="0" fillId="0" borderId="22" xfId="0" applyFont="1" applyBorder="1" applyAlignment="1">
      <alignment horizontal="right"/>
    </xf>
    <xf numFmtId="10" fontId="0" fillId="0" borderId="22" xfId="0" applyNumberFormat="1" applyFont="1" applyBorder="1" applyAlignment="1">
      <alignment horizontal="right"/>
    </xf>
    <xf numFmtId="0" fontId="15" fillId="4" borderId="24" xfId="0" applyFont="1" applyFill="1" applyBorder="1" applyAlignment="1"/>
    <xf numFmtId="0" fontId="15" fillId="4" borderId="24" xfId="0" applyFont="1" applyFill="1" applyBorder="1" applyAlignment="1">
      <alignment horizontal="right"/>
    </xf>
    <xf numFmtId="0" fontId="6" fillId="0" borderId="22" xfId="0" applyFont="1" applyBorder="1" applyAlignment="1"/>
    <xf numFmtId="0" fontId="6" fillId="0" borderId="22" xfId="0" applyFont="1" applyBorder="1"/>
    <xf numFmtId="10" fontId="15" fillId="4" borderId="24" xfId="0" applyNumberFormat="1" applyFont="1" applyFill="1" applyBorder="1" applyAlignment="1">
      <alignment horizontal="right"/>
    </xf>
    <xf numFmtId="0" fontId="0" fillId="0" borderId="20" xfId="0" applyFont="1" applyBorder="1" applyAlignment="1"/>
    <xf numFmtId="0" fontId="7" fillId="4" borderId="23" xfId="0" applyFont="1" applyFill="1" applyBorder="1" applyAlignment="1"/>
    <xf numFmtId="0" fontId="0" fillId="0" borderId="20" xfId="0" applyFont="1" applyBorder="1" applyAlignment="1">
      <alignment horizontal="right"/>
    </xf>
    <xf numFmtId="0" fontId="7" fillId="4" borderId="23" xfId="0" applyFont="1" applyFill="1" applyBorder="1"/>
    <xf numFmtId="0" fontId="16" fillId="0" borderId="0" xfId="0" applyFont="1" applyAlignment="1">
      <alignment horizontal="center"/>
    </xf>
    <xf numFmtId="0" fontId="16" fillId="0" borderId="0" xfId="0" applyFont="1" applyAlignment="1">
      <alignment horizontal="left"/>
    </xf>
    <xf numFmtId="0" fontId="6" fillId="0" borderId="0" xfId="0" applyFont="1" applyAlignment="1"/>
    <xf numFmtId="0" fontId="0" fillId="5" borderId="0" xfId="0" applyFont="1" applyFill="1" applyAlignment="1">
      <alignment wrapText="1"/>
    </xf>
    <xf numFmtId="0" fontId="16" fillId="3" borderId="24" xfId="0" applyFont="1" applyFill="1" applyBorder="1" applyAlignment="1"/>
    <xf numFmtId="0" fontId="6" fillId="3" borderId="24" xfId="0" applyFont="1" applyFill="1" applyBorder="1"/>
    <xf numFmtId="0" fontId="7" fillId="3" borderId="15" xfId="0" applyFont="1" applyFill="1" applyBorder="1" applyAlignment="1"/>
    <xf numFmtId="0" fontId="7" fillId="3" borderId="24" xfId="0" applyFont="1" applyFill="1" applyBorder="1" applyAlignment="1"/>
    <xf numFmtId="0" fontId="15" fillId="6" borderId="24" xfId="0" applyFont="1" applyFill="1" applyBorder="1" applyAlignment="1"/>
    <xf numFmtId="0" fontId="15" fillId="6" borderId="24" xfId="0" applyFont="1" applyFill="1" applyBorder="1" applyAlignment="1">
      <alignment horizontal="right"/>
    </xf>
    <xf numFmtId="0" fontId="15" fillId="6" borderId="11" xfId="0" applyFont="1" applyFill="1" applyBorder="1" applyAlignment="1">
      <alignment horizontal="right"/>
    </xf>
    <xf numFmtId="10" fontId="15" fillId="6" borderId="15" xfId="0" applyNumberFormat="1" applyFont="1" applyFill="1" applyBorder="1" applyAlignment="1">
      <alignment horizontal="right"/>
    </xf>
    <xf numFmtId="0" fontId="14" fillId="5" borderId="0" xfId="0" applyFont="1" applyFill="1" applyAlignment="1">
      <alignment horizontal="center" wrapText="1"/>
    </xf>
    <xf numFmtId="0" fontId="6" fillId="0" borderId="0" xfId="0" applyFont="1" applyAlignment="1">
      <alignment wrapText="1"/>
    </xf>
    <xf numFmtId="0" fontId="6" fillId="0" borderId="25" xfId="0" applyFont="1" applyBorder="1"/>
    <xf numFmtId="0" fontId="6" fillId="0" borderId="26" xfId="0" applyFont="1" applyBorder="1"/>
    <xf numFmtId="0" fontId="17" fillId="5" borderId="25" xfId="0" applyFont="1" applyFill="1" applyBorder="1" applyAlignment="1">
      <alignment wrapText="1"/>
    </xf>
    <xf numFmtId="0" fontId="18" fillId="0" borderId="0" xfId="0" applyFont="1" applyAlignment="1"/>
    <xf numFmtId="0" fontId="18" fillId="0" borderId="26" xfId="0" applyFont="1" applyBorder="1" applyAlignment="1">
      <alignment wrapText="1"/>
    </xf>
    <xf numFmtId="0" fontId="18" fillId="0" borderId="0" xfId="0" applyFont="1" applyAlignment="1">
      <alignment wrapText="1"/>
    </xf>
    <xf numFmtId="0" fontId="7" fillId="0" borderId="27" xfId="0" applyFont="1" applyBorder="1" applyAlignment="1"/>
    <xf numFmtId="0" fontId="7" fillId="0" borderId="27" xfId="0" applyFont="1" applyBorder="1"/>
    <xf numFmtId="0" fontId="6" fillId="0" borderId="28" xfId="0" applyFont="1" applyBorder="1"/>
    <xf numFmtId="0" fontId="6" fillId="0" borderId="29" xfId="0" applyFont="1" applyBorder="1"/>
    <xf numFmtId="0" fontId="6" fillId="0" borderId="30" xfId="0" applyFont="1" applyBorder="1"/>
    <xf numFmtId="0" fontId="17" fillId="5" borderId="0" xfId="0" applyFont="1" applyFill="1" applyAlignment="1">
      <alignment wrapText="1"/>
    </xf>
    <xf numFmtId="0" fontId="7" fillId="6" borderId="24" xfId="0" applyFont="1" applyFill="1" applyBorder="1" applyAlignment="1"/>
    <xf numFmtId="0" fontId="7" fillId="6" borderId="24" xfId="0" applyFont="1" applyFill="1" applyBorder="1"/>
    <xf numFmtId="0" fontId="15" fillId="0" borderId="21" xfId="0" applyFont="1" applyBorder="1" applyAlignment="1">
      <alignment horizontal="right"/>
    </xf>
    <xf numFmtId="10" fontId="15" fillId="0" borderId="21" xfId="0" applyNumberFormat="1" applyFont="1" applyBorder="1" applyAlignment="1">
      <alignment horizontal="right"/>
    </xf>
    <xf numFmtId="0" fontId="20" fillId="0" borderId="21" xfId="0" applyFont="1" applyBorder="1" applyAlignment="1">
      <alignment horizontal="right"/>
    </xf>
    <xf numFmtId="10" fontId="15" fillId="6" borderId="24" xfId="0" applyNumberFormat="1" applyFont="1" applyFill="1" applyBorder="1" applyAlignment="1">
      <alignment horizontal="right"/>
    </xf>
    <xf numFmtId="0" fontId="0" fillId="5" borderId="25" xfId="0" applyFont="1" applyFill="1" applyBorder="1" applyAlignment="1"/>
    <xf numFmtId="0" fontId="6" fillId="0" borderId="26" xfId="0" applyFont="1" applyBorder="1" applyAlignment="1"/>
    <xf numFmtId="0" fontId="7" fillId="7" borderId="0" xfId="0" applyFont="1" applyFill="1"/>
    <xf numFmtId="0" fontId="18" fillId="0" borderId="20" xfId="0" applyFont="1" applyBorder="1"/>
    <xf numFmtId="0" fontId="18" fillId="0" borderId="21" xfId="0" applyFont="1" applyBorder="1"/>
    <xf numFmtId="0" fontId="7" fillId="3" borderId="31" xfId="0" applyFont="1" applyFill="1" applyBorder="1" applyAlignment="1"/>
    <xf numFmtId="0" fontId="7" fillId="3" borderId="11" xfId="0" applyFont="1" applyFill="1" applyBorder="1" applyAlignment="1"/>
    <xf numFmtId="0" fontId="7" fillId="0" borderId="32" xfId="0" applyFont="1" applyBorder="1" applyAlignment="1"/>
    <xf numFmtId="0" fontId="6" fillId="0" borderId="33" xfId="0" applyFont="1" applyBorder="1"/>
    <xf numFmtId="0" fontId="6" fillId="0" borderId="34" xfId="0" applyFont="1" applyBorder="1" applyAlignment="1"/>
    <xf numFmtId="2" fontId="6" fillId="0" borderId="21" xfId="0" applyNumberFormat="1" applyFont="1" applyBorder="1" applyAlignment="1"/>
    <xf numFmtId="0" fontId="21" fillId="0" borderId="35" xfId="0" applyFont="1" applyBorder="1"/>
    <xf numFmtId="0" fontId="22" fillId="0" borderId="35" xfId="0" applyFont="1" applyBorder="1"/>
    <xf numFmtId="0" fontId="13" fillId="3" borderId="36" xfId="0" applyFont="1" applyFill="1" applyBorder="1" applyAlignment="1"/>
    <xf numFmtId="0" fontId="13" fillId="3" borderId="37" xfId="0" applyFont="1" applyFill="1" applyBorder="1" applyAlignment="1"/>
    <xf numFmtId="0" fontId="13" fillId="3" borderId="27" xfId="0" applyFont="1" applyFill="1" applyBorder="1" applyAlignment="1"/>
    <xf numFmtId="0" fontId="7" fillId="0" borderId="34" xfId="0" applyFont="1" applyBorder="1" applyAlignment="1"/>
    <xf numFmtId="0" fontId="13" fillId="3" borderId="38" xfId="0" applyFont="1" applyFill="1" applyBorder="1" applyAlignment="1"/>
    <xf numFmtId="0" fontId="7" fillId="3" borderId="39" xfId="0" applyFont="1" applyFill="1" applyBorder="1" applyAlignment="1">
      <alignment horizontal="center"/>
    </xf>
    <xf numFmtId="0" fontId="7" fillId="0" borderId="34" xfId="0" applyFont="1" applyBorder="1" applyAlignment="1">
      <alignment horizontal="left"/>
    </xf>
    <xf numFmtId="0" fontId="6" fillId="0" borderId="21" xfId="0" applyFont="1" applyBorder="1" applyAlignment="1">
      <alignment horizontal="center"/>
    </xf>
    <xf numFmtId="0" fontId="23" fillId="0" borderId="35" xfId="0" applyFont="1" applyBorder="1"/>
    <xf numFmtId="10" fontId="6" fillId="0" borderId="21" xfId="0" applyNumberFormat="1" applyFont="1" applyBorder="1" applyAlignment="1">
      <alignment horizontal="center"/>
    </xf>
    <xf numFmtId="10" fontId="6" fillId="0" borderId="0" xfId="0" applyNumberFormat="1" applyFont="1" applyAlignment="1"/>
    <xf numFmtId="0" fontId="7" fillId="0" borderId="40" xfId="0" applyFont="1" applyBorder="1" applyAlignment="1">
      <alignment horizontal="left"/>
    </xf>
    <xf numFmtId="0" fontId="6" fillId="0" borderId="41" xfId="0" applyFont="1" applyBorder="1" applyAlignment="1">
      <alignment horizontal="center"/>
    </xf>
    <xf numFmtId="10" fontId="6" fillId="0" borderId="41" xfId="0" applyNumberFormat="1" applyFont="1" applyBorder="1" applyAlignment="1">
      <alignment horizontal="center"/>
    </xf>
    <xf numFmtId="0" fontId="16" fillId="0" borderId="0" xfId="0" applyFont="1" applyAlignment="1"/>
    <xf numFmtId="0" fontId="24" fillId="0" borderId="0" xfId="0" applyFont="1" applyAlignment="1">
      <alignment horizontal="left"/>
    </xf>
    <xf numFmtId="0" fontId="23" fillId="0" borderId="42" xfId="0" applyFont="1" applyBorder="1"/>
    <xf numFmtId="0" fontId="20" fillId="0" borderId="0" xfId="0" applyFont="1" applyAlignment="1"/>
    <xf numFmtId="0" fontId="20" fillId="0" borderId="0" xfId="0" applyFont="1" applyAlignment="1"/>
    <xf numFmtId="10" fontId="6" fillId="0" borderId="21" xfId="0" applyNumberFormat="1" applyFont="1" applyBorder="1" applyAlignment="1"/>
    <xf numFmtId="0" fontId="6" fillId="0" borderId="43" xfId="0" applyFont="1" applyBorder="1" applyAlignment="1"/>
    <xf numFmtId="2" fontId="6" fillId="0" borderId="22" xfId="0" applyNumberFormat="1" applyFont="1" applyBorder="1" applyAlignment="1"/>
    <xf numFmtId="10" fontId="7" fillId="0" borderId="21" xfId="0" applyNumberFormat="1" applyFont="1" applyBorder="1" applyAlignment="1"/>
    <xf numFmtId="0" fontId="25" fillId="0" borderId="0" xfId="0" applyFont="1" applyAlignment="1">
      <alignment horizontal="center"/>
    </xf>
    <xf numFmtId="10" fontId="6" fillId="0" borderId="22" xfId="0" applyNumberFormat="1" applyFont="1" applyBorder="1" applyAlignment="1"/>
    <xf numFmtId="10" fontId="7" fillId="6" borderId="24" xfId="0" applyNumberFormat="1" applyFont="1" applyFill="1" applyBorder="1" applyAlignment="1"/>
    <xf numFmtId="0" fontId="6" fillId="2" borderId="25" xfId="0" applyFont="1" applyFill="1" applyBorder="1"/>
    <xf numFmtId="0" fontId="6" fillId="2" borderId="0" xfId="0" applyFont="1" applyFill="1"/>
    <xf numFmtId="0" fontId="7" fillId="2" borderId="26" xfId="0" applyFont="1" applyFill="1" applyBorder="1" applyAlignment="1"/>
    <xf numFmtId="0" fontId="7" fillId="2" borderId="24" xfId="0" applyFont="1" applyFill="1" applyBorder="1" applyAlignment="1">
      <alignment horizontal="center"/>
    </xf>
    <xf numFmtId="2" fontId="7" fillId="6" borderId="24" xfId="0" applyNumberFormat="1" applyFont="1" applyFill="1" applyBorder="1" applyAlignment="1"/>
    <xf numFmtId="0" fontId="6" fillId="0" borderId="32" xfId="0" applyFont="1" applyBorder="1" applyAlignment="1"/>
    <xf numFmtId="0" fontId="6" fillId="0" borderId="25" xfId="0" applyFont="1" applyBorder="1" applyAlignment="1"/>
    <xf numFmtId="0" fontId="6" fillId="0" borderId="26" xfId="0" applyFont="1" applyBorder="1" applyAlignment="1"/>
    <xf numFmtId="3" fontId="6" fillId="0" borderId="20" xfId="0" applyNumberFormat="1" applyFont="1" applyBorder="1" applyAlignment="1">
      <alignment horizontal="center"/>
    </xf>
    <xf numFmtId="2" fontId="7" fillId="6" borderId="11" xfId="0" applyNumberFormat="1" applyFont="1" applyFill="1" applyBorder="1" applyAlignment="1"/>
    <xf numFmtId="3" fontId="6" fillId="0" borderId="33" xfId="0" applyNumberFormat="1" applyFont="1" applyBorder="1" applyAlignment="1">
      <alignment horizontal="center"/>
    </xf>
    <xf numFmtId="3" fontId="6" fillId="0" borderId="21" xfId="0" applyNumberFormat="1" applyFont="1" applyBorder="1" applyAlignment="1">
      <alignment horizontal="center"/>
    </xf>
    <xf numFmtId="3" fontId="6" fillId="0" borderId="35" xfId="0" applyNumberFormat="1" applyFont="1" applyBorder="1" applyAlignment="1">
      <alignment horizontal="center"/>
    </xf>
    <xf numFmtId="2" fontId="6" fillId="0" borderId="20" xfId="0" applyNumberFormat="1" applyFont="1" applyBorder="1" applyAlignment="1"/>
    <xf numFmtId="0" fontId="21" fillId="0" borderId="33" xfId="0" applyFont="1" applyBorder="1"/>
    <xf numFmtId="0" fontId="6" fillId="0" borderId="35" xfId="0" applyFont="1" applyBorder="1" applyAlignment="1">
      <alignment horizontal="center"/>
    </xf>
    <xf numFmtId="0" fontId="6" fillId="0" borderId="28" xfId="0" applyFont="1" applyBorder="1" applyAlignment="1"/>
    <xf numFmtId="0" fontId="6" fillId="0" borderId="29" xfId="0" applyFont="1" applyBorder="1" applyAlignment="1"/>
    <xf numFmtId="0" fontId="6" fillId="0" borderId="30" xfId="0" applyFont="1" applyBorder="1" applyAlignment="1"/>
    <xf numFmtId="10" fontId="6" fillId="0" borderId="35" xfId="0" applyNumberFormat="1" applyFont="1" applyBorder="1" applyAlignment="1">
      <alignment horizontal="center"/>
    </xf>
    <xf numFmtId="10" fontId="6" fillId="0" borderId="22" xfId="0" applyNumberFormat="1" applyFont="1" applyBorder="1" applyAlignment="1">
      <alignment horizontal="center"/>
    </xf>
    <xf numFmtId="10" fontId="7" fillId="0" borderId="0" xfId="0" applyNumberFormat="1" applyFont="1" applyAlignment="1"/>
    <xf numFmtId="10" fontId="6" fillId="0" borderId="31" xfId="0" applyNumberFormat="1" applyFont="1" applyBorder="1" applyAlignment="1">
      <alignment horizontal="center"/>
    </xf>
    <xf numFmtId="0" fontId="6" fillId="0" borderId="24" xfId="0" applyFont="1" applyBorder="1" applyAlignment="1"/>
    <xf numFmtId="3" fontId="6" fillId="0" borderId="24" xfId="0" applyNumberFormat="1" applyFont="1" applyBorder="1" applyAlignment="1">
      <alignment horizontal="center"/>
    </xf>
    <xf numFmtId="0" fontId="6" fillId="0" borderId="0" xfId="0" applyFont="1" applyAlignment="1">
      <alignment horizontal="center"/>
    </xf>
    <xf numFmtId="0" fontId="6" fillId="0" borderId="26" xfId="0" applyFont="1" applyBorder="1" applyAlignment="1">
      <alignment horizontal="center"/>
    </xf>
    <xf numFmtId="0" fontId="16" fillId="0" borderId="24" xfId="0" applyFont="1" applyBorder="1" applyAlignment="1"/>
    <xf numFmtId="2" fontId="16" fillId="0" borderId="24" xfId="0" applyNumberFormat="1" applyFont="1" applyBorder="1" applyAlignment="1">
      <alignment horizontal="center"/>
    </xf>
    <xf numFmtId="0" fontId="27" fillId="0" borderId="0" xfId="0" applyFont="1" applyAlignment="1">
      <alignment wrapText="1"/>
    </xf>
    <xf numFmtId="0" fontId="27" fillId="8" borderId="0" xfId="0" applyFont="1" applyFill="1" applyAlignment="1">
      <alignment wrapText="1"/>
    </xf>
    <xf numFmtId="0" fontId="29" fillId="2" borderId="21" xfId="0" applyFont="1" applyFill="1" applyBorder="1" applyAlignment="1">
      <alignment wrapText="1"/>
    </xf>
    <xf numFmtId="0" fontId="27" fillId="0" borderId="0" xfId="0" applyFont="1" applyAlignment="1">
      <alignment wrapText="1"/>
    </xf>
    <xf numFmtId="0" fontId="29" fillId="0" borderId="21" xfId="0" applyFont="1" applyBorder="1" applyAlignment="1">
      <alignment wrapText="1"/>
    </xf>
    <xf numFmtId="0" fontId="29" fillId="2" borderId="24" xfId="0" applyFont="1" applyFill="1" applyBorder="1" applyAlignment="1">
      <alignment horizontal="center" wrapText="1"/>
    </xf>
    <xf numFmtId="0" fontId="29" fillId="0" borderId="21" xfId="0" applyFont="1" applyBorder="1" applyAlignment="1">
      <alignment horizontal="center" wrapText="1"/>
    </xf>
    <xf numFmtId="3" fontId="27" fillId="0" borderId="21" xfId="0" applyNumberFormat="1" applyFont="1" applyBorder="1" applyAlignment="1">
      <alignment horizontal="center" wrapText="1"/>
    </xf>
    <xf numFmtId="0" fontId="30" fillId="0" borderId="35" xfId="0" applyFont="1" applyBorder="1" applyAlignment="1">
      <alignment horizontal="center" wrapText="1"/>
    </xf>
    <xf numFmtId="0" fontId="29" fillId="0" borderId="32" xfId="0" applyFont="1" applyBorder="1" applyAlignment="1">
      <alignment horizontal="center" wrapText="1"/>
    </xf>
    <xf numFmtId="3" fontId="27" fillId="0" borderId="20" xfId="0" applyNumberFormat="1" applyFont="1" applyBorder="1" applyAlignment="1">
      <alignment horizontal="center" wrapText="1"/>
    </xf>
    <xf numFmtId="0" fontId="30" fillId="0" borderId="33" xfId="0" applyFont="1" applyBorder="1" applyAlignment="1">
      <alignment horizontal="center" wrapText="1"/>
    </xf>
    <xf numFmtId="0" fontId="29" fillId="0" borderId="34" xfId="0" applyFont="1" applyBorder="1" applyAlignment="1">
      <alignment horizontal="center" wrapText="1"/>
    </xf>
    <xf numFmtId="0" fontId="27" fillId="0" borderId="32" xfId="0" applyFont="1" applyBorder="1" applyAlignment="1">
      <alignment horizontal="center" wrapText="1"/>
    </xf>
    <xf numFmtId="0" fontId="27" fillId="0" borderId="20" xfId="0" applyFont="1" applyBorder="1" applyAlignment="1">
      <alignment horizontal="center" wrapText="1"/>
    </xf>
    <xf numFmtId="0" fontId="27" fillId="0" borderId="33" xfId="0" applyFont="1" applyBorder="1" applyAlignment="1">
      <alignment horizontal="center" wrapText="1"/>
    </xf>
    <xf numFmtId="0" fontId="27" fillId="0" borderId="34" xfId="0" applyFont="1" applyBorder="1" applyAlignment="1">
      <alignment horizontal="center" wrapText="1"/>
    </xf>
    <xf numFmtId="0" fontId="27" fillId="0" borderId="21" xfId="0" applyFont="1" applyBorder="1" applyAlignment="1">
      <alignment horizontal="center" wrapText="1"/>
    </xf>
    <xf numFmtId="3" fontId="27" fillId="0" borderId="35" xfId="0" applyNumberFormat="1" applyFont="1" applyBorder="1" applyAlignment="1">
      <alignment horizontal="center" wrapText="1"/>
    </xf>
    <xf numFmtId="0" fontId="27" fillId="0" borderId="40" xfId="0" applyFont="1" applyBorder="1" applyAlignment="1">
      <alignment horizontal="center" wrapText="1"/>
    </xf>
    <xf numFmtId="0" fontId="27" fillId="0" borderId="41" xfId="0" applyFont="1" applyBorder="1" applyAlignment="1">
      <alignment horizontal="center" wrapText="1"/>
    </xf>
    <xf numFmtId="3" fontId="27" fillId="0" borderId="41" xfId="0" applyNumberFormat="1" applyFont="1" applyBorder="1" applyAlignment="1">
      <alignment horizontal="center" wrapText="1"/>
    </xf>
    <xf numFmtId="3" fontId="27" fillId="0" borderId="42" xfId="0" applyNumberFormat="1" applyFont="1" applyBorder="1" applyAlignment="1">
      <alignment horizontal="center" wrapText="1"/>
    </xf>
    <xf numFmtId="0" fontId="32" fillId="2" borderId="32" xfId="0" applyFont="1" applyFill="1" applyBorder="1" applyAlignment="1">
      <alignment horizontal="center" wrapText="1"/>
    </xf>
    <xf numFmtId="0" fontId="32" fillId="2" borderId="20" xfId="0" applyFont="1" applyFill="1" applyBorder="1" applyAlignment="1">
      <alignment horizontal="center" wrapText="1"/>
    </xf>
    <xf numFmtId="0" fontId="32" fillId="2" borderId="20" xfId="0" applyFont="1" applyFill="1" applyBorder="1" applyAlignment="1">
      <alignment horizontal="center" wrapText="1"/>
    </xf>
    <xf numFmtId="0" fontId="32" fillId="2" borderId="33" xfId="0" applyFont="1" applyFill="1" applyBorder="1" applyAlignment="1">
      <alignment horizontal="center" wrapText="1"/>
    </xf>
    <xf numFmtId="0" fontId="33" fillId="0" borderId="34" xfId="0" applyFont="1" applyBorder="1" applyAlignment="1"/>
    <xf numFmtId="0" fontId="33" fillId="0" borderId="21" xfId="0" applyFont="1" applyBorder="1" applyAlignment="1"/>
    <xf numFmtId="2" fontId="27" fillId="0" borderId="21" xfId="0" applyNumberFormat="1" applyFont="1" applyBorder="1" applyAlignment="1">
      <alignment horizontal="right" wrapText="1"/>
    </xf>
    <xf numFmtId="2" fontId="27" fillId="0" borderId="35" xfId="0" applyNumberFormat="1" applyFont="1" applyBorder="1" applyAlignment="1">
      <alignment horizontal="right" wrapText="1"/>
    </xf>
    <xf numFmtId="2" fontId="27" fillId="0" borderId="21" xfId="0" applyNumberFormat="1" applyFont="1" applyBorder="1" applyAlignment="1">
      <alignment wrapText="1"/>
    </xf>
    <xf numFmtId="0" fontId="23" fillId="0" borderId="31" xfId="0" applyFont="1" applyBorder="1"/>
    <xf numFmtId="2" fontId="27" fillId="0" borderId="35" xfId="0" applyNumberFormat="1" applyFont="1" applyBorder="1" applyAlignment="1">
      <alignment wrapText="1"/>
    </xf>
    <xf numFmtId="0" fontId="23" fillId="0" borderId="24" xfId="0" applyFont="1" applyBorder="1"/>
    <xf numFmtId="0" fontId="14" fillId="0" borderId="0" xfId="0" applyFont="1" applyAlignment="1">
      <alignment horizontal="center"/>
    </xf>
    <xf numFmtId="0" fontId="33" fillId="0" borderId="21" xfId="0" applyFont="1" applyBorder="1" applyAlignment="1"/>
    <xf numFmtId="0" fontId="15" fillId="0" borderId="0" xfId="0" applyFont="1" applyAlignment="1">
      <alignment horizontal="left"/>
    </xf>
    <xf numFmtId="0" fontId="6" fillId="3" borderId="26" xfId="0" applyFont="1" applyFill="1" applyBorder="1"/>
    <xf numFmtId="0" fontId="27" fillId="0" borderId="34" xfId="0" applyFont="1" applyBorder="1" applyAlignment="1">
      <alignment wrapText="1"/>
    </xf>
    <xf numFmtId="0" fontId="36" fillId="0" borderId="0" xfId="0" applyFont="1" applyAlignment="1"/>
    <xf numFmtId="0" fontId="15" fillId="3" borderId="24" xfId="0" applyFont="1" applyFill="1" applyBorder="1" applyAlignment="1">
      <alignment horizontal="left"/>
    </xf>
    <xf numFmtId="0" fontId="27" fillId="0" borderId="21" xfId="0" applyFont="1" applyBorder="1" applyAlignment="1">
      <alignment wrapText="1"/>
    </xf>
    <xf numFmtId="0" fontId="31" fillId="8" borderId="40" xfId="0" applyFont="1" applyFill="1" applyBorder="1" applyAlignment="1">
      <alignment wrapText="1"/>
    </xf>
    <xf numFmtId="0" fontId="31" fillId="8" borderId="41" xfId="0" applyFont="1" applyFill="1" applyBorder="1" applyAlignment="1">
      <alignment wrapText="1"/>
    </xf>
    <xf numFmtId="0" fontId="7" fillId="2" borderId="56" xfId="0" applyFont="1" applyFill="1" applyBorder="1" applyAlignment="1">
      <alignment horizontal="center"/>
    </xf>
    <xf numFmtId="0" fontId="6" fillId="0" borderId="20" xfId="0" applyFont="1" applyBorder="1" applyAlignment="1"/>
    <xf numFmtId="0" fontId="6" fillId="0" borderId="56" xfId="0" applyFont="1" applyBorder="1" applyAlignment="1"/>
    <xf numFmtId="0" fontId="6" fillId="0" borderId="56" xfId="0" applyFont="1" applyBorder="1" applyAlignment="1">
      <alignment horizontal="center"/>
    </xf>
    <xf numFmtId="2" fontId="31" fillId="8" borderId="41" xfId="0" applyNumberFormat="1" applyFont="1" applyFill="1" applyBorder="1" applyAlignment="1">
      <alignment horizontal="right" wrapText="1"/>
    </xf>
    <xf numFmtId="2" fontId="31" fillId="8" borderId="42" xfId="0" applyNumberFormat="1" applyFont="1" applyFill="1" applyBorder="1" applyAlignment="1">
      <alignment horizontal="right" wrapText="1"/>
    </xf>
    <xf numFmtId="0" fontId="6" fillId="0" borderId="35" xfId="0" applyFont="1" applyBorder="1"/>
    <xf numFmtId="0" fontId="38" fillId="2" borderId="21" xfId="0" applyFont="1" applyFill="1" applyBorder="1" applyAlignment="1"/>
    <xf numFmtId="0" fontId="13" fillId="0" borderId="57" xfId="0" applyFont="1" applyBorder="1" applyAlignment="1"/>
    <xf numFmtId="0" fontId="6" fillId="0" borderId="57" xfId="0" applyFont="1" applyBorder="1"/>
    <xf numFmtId="0" fontId="7" fillId="0" borderId="0" xfId="0" applyFont="1" applyAlignment="1">
      <alignment horizontal="center"/>
    </xf>
    <xf numFmtId="0" fontId="39" fillId="0" borderId="21" xfId="0" applyFont="1" applyBorder="1" applyAlignment="1"/>
    <xf numFmtId="0" fontId="6" fillId="2" borderId="56" xfId="0" applyFont="1" applyFill="1" applyBorder="1"/>
    <xf numFmtId="0" fontId="40" fillId="0" borderId="0" xfId="0" applyFont="1" applyAlignment="1">
      <alignment horizontal="center" wrapText="1"/>
    </xf>
    <xf numFmtId="0" fontId="16" fillId="0" borderId="57" xfId="0" applyFont="1" applyBorder="1" applyAlignment="1"/>
    <xf numFmtId="164" fontId="6" fillId="2" borderId="56" xfId="0" applyNumberFormat="1" applyFont="1" applyFill="1" applyBorder="1" applyAlignment="1"/>
    <xf numFmtId="0" fontId="8" fillId="2" borderId="61" xfId="0" applyFont="1" applyFill="1" applyBorder="1" applyAlignment="1">
      <alignment horizontal="center"/>
    </xf>
    <xf numFmtId="0" fontId="41" fillId="0" borderId="0" xfId="0" applyFont="1" applyAlignment="1">
      <alignment horizontal="center"/>
    </xf>
    <xf numFmtId="0" fontId="42" fillId="0" borderId="61" xfId="0" applyFont="1" applyBorder="1" applyAlignment="1"/>
    <xf numFmtId="164" fontId="42" fillId="0" borderId="61" xfId="0" applyNumberFormat="1" applyFont="1" applyBorder="1" applyAlignment="1">
      <alignment horizontal="center"/>
    </xf>
    <xf numFmtId="0" fontId="42" fillId="0" borderId="61" xfId="0" applyFont="1" applyBorder="1" applyAlignment="1">
      <alignment horizontal="center"/>
    </xf>
    <xf numFmtId="0" fontId="41" fillId="0" borderId="0" xfId="0" applyFont="1" applyAlignment="1"/>
    <xf numFmtId="0" fontId="8" fillId="2" borderId="21" xfId="0" applyFont="1" applyFill="1" applyBorder="1" applyAlignment="1">
      <alignment horizontal="center"/>
    </xf>
    <xf numFmtId="0" fontId="8" fillId="0" borderId="0" xfId="0" applyFont="1" applyAlignment="1">
      <alignment horizontal="center"/>
    </xf>
    <xf numFmtId="0" fontId="6" fillId="0" borderId="31" xfId="0" applyFont="1" applyBorder="1"/>
    <xf numFmtId="0" fontId="7" fillId="4" borderId="24" xfId="0" applyFont="1" applyFill="1" applyBorder="1" applyAlignment="1"/>
    <xf numFmtId="0" fontId="7" fillId="4" borderId="11" xfId="0" applyFont="1" applyFill="1" applyBorder="1" applyAlignment="1"/>
    <xf numFmtId="0" fontId="6" fillId="0" borderId="24" xfId="0" applyFont="1" applyBorder="1"/>
    <xf numFmtId="0" fontId="16" fillId="0" borderId="65" xfId="0" applyFont="1" applyBorder="1" applyAlignment="1">
      <alignment horizontal="center"/>
    </xf>
    <xf numFmtId="0" fontId="6" fillId="0" borderId="66" xfId="0" applyFont="1" applyBorder="1" applyAlignment="1">
      <alignment horizontal="center"/>
    </xf>
    <xf numFmtId="0" fontId="21" fillId="0" borderId="66" xfId="0" applyFont="1" applyBorder="1" applyAlignment="1">
      <alignment horizontal="center"/>
    </xf>
    <xf numFmtId="0" fontId="23" fillId="0" borderId="66" xfId="0" applyFont="1" applyBorder="1" applyAlignment="1">
      <alignment horizontal="center"/>
    </xf>
    <xf numFmtId="0" fontId="45" fillId="0" borderId="0" xfId="0" applyFont="1" applyAlignment="1"/>
    <xf numFmtId="0" fontId="46" fillId="0" borderId="0" xfId="0" applyFont="1" applyAlignment="1"/>
    <xf numFmtId="0" fontId="36" fillId="0" borderId="0" xfId="0" applyFont="1"/>
    <xf numFmtId="0" fontId="41" fillId="0" borderId="0" xfId="0" applyFont="1"/>
    <xf numFmtId="0" fontId="3" fillId="0" borderId="1" xfId="0" applyFont="1" applyBorder="1" applyAlignment="1">
      <alignment horizontal="center"/>
    </xf>
    <xf numFmtId="0" fontId="4" fillId="0" borderId="2" xfId="0" applyFont="1" applyBorder="1"/>
    <xf numFmtId="0" fontId="4" fillId="0" borderId="3" xfId="0" applyFont="1" applyBorder="1"/>
    <xf numFmtId="0" fontId="9" fillId="0" borderId="6" xfId="0" applyFont="1" applyBorder="1" applyAlignment="1">
      <alignment horizontal="center"/>
    </xf>
    <xf numFmtId="0" fontId="4" fillId="0" borderId="7" xfId="0" applyFont="1" applyBorder="1"/>
    <xf numFmtId="0" fontId="4" fillId="0" borderId="8" xfId="0" applyFont="1" applyBorder="1"/>
    <xf numFmtId="0" fontId="11" fillId="0" borderId="10" xfId="0" applyFont="1" applyBorder="1" applyAlignment="1">
      <alignment horizontal="center"/>
    </xf>
    <xf numFmtId="0" fontId="4" fillId="0" borderId="12" xfId="0" applyFont="1" applyBorder="1"/>
    <xf numFmtId="0" fontId="4" fillId="0" borderId="13" xfId="0" applyFont="1" applyBorder="1"/>
    <xf numFmtId="0" fontId="8" fillId="0" borderId="5" xfId="0" applyFont="1" applyBorder="1" applyAlignment="1">
      <alignment horizontal="center"/>
    </xf>
    <xf numFmtId="0" fontId="4" fillId="0" borderId="5" xfId="0" applyFont="1" applyBorder="1"/>
    <xf numFmtId="0" fontId="12" fillId="2" borderId="11" xfId="0" applyFont="1" applyFill="1" applyBorder="1" applyAlignment="1">
      <alignment horizontal="center"/>
    </xf>
    <xf numFmtId="0" fontId="4" fillId="0" borderId="14" xfId="0" applyFont="1" applyBorder="1"/>
    <xf numFmtId="0" fontId="4" fillId="0" borderId="15" xfId="0" applyFont="1" applyBorder="1"/>
    <xf numFmtId="4" fontId="19" fillId="5" borderId="25" xfId="0" applyNumberFormat="1" applyFont="1" applyFill="1" applyBorder="1" applyAlignment="1">
      <alignment horizontal="left" wrapText="1"/>
    </xf>
    <xf numFmtId="0" fontId="0" fillId="0" borderId="0" xfId="0" applyFont="1" applyAlignment="1"/>
    <xf numFmtId="0" fontId="4" fillId="0" borderId="26" xfId="0" applyFont="1" applyBorder="1"/>
    <xf numFmtId="0" fontId="16" fillId="2" borderId="11" xfId="0" applyFont="1" applyFill="1" applyBorder="1" applyAlignment="1">
      <alignment horizontal="center"/>
    </xf>
    <xf numFmtId="0" fontId="0" fillId="5" borderId="25" xfId="0" applyFont="1" applyFill="1" applyBorder="1" applyAlignment="1">
      <alignment wrapText="1"/>
    </xf>
    <xf numFmtId="0" fontId="0" fillId="5" borderId="28" xfId="0" applyFont="1" applyFill="1" applyBorder="1" applyAlignment="1">
      <alignment wrapText="1"/>
    </xf>
    <xf numFmtId="0" fontId="4" fillId="0" borderId="29" xfId="0" applyFont="1" applyBorder="1"/>
    <xf numFmtId="0" fontId="4" fillId="0" borderId="30" xfId="0" applyFont="1" applyBorder="1"/>
    <xf numFmtId="0" fontId="14" fillId="2" borderId="11" xfId="0" applyFont="1" applyFill="1" applyBorder="1" applyAlignment="1">
      <alignment horizontal="center" wrapText="1"/>
    </xf>
    <xf numFmtId="4" fontId="0" fillId="5" borderId="25" xfId="0" applyNumberFormat="1" applyFont="1" applyFill="1" applyBorder="1" applyAlignment="1">
      <alignment horizontal="left" wrapText="1"/>
    </xf>
    <xf numFmtId="0" fontId="16" fillId="3" borderId="14" xfId="0" applyFont="1" applyFill="1" applyBorder="1" applyAlignment="1">
      <alignment horizontal="center"/>
    </xf>
    <xf numFmtId="0" fontId="16" fillId="3" borderId="11" xfId="0" applyFont="1" applyFill="1" applyBorder="1" applyAlignment="1">
      <alignment horizontal="center"/>
    </xf>
    <xf numFmtId="0" fontId="0" fillId="5" borderId="25" xfId="0" applyFont="1" applyFill="1" applyBorder="1" applyAlignment="1">
      <alignment horizontal="left" wrapText="1"/>
    </xf>
    <xf numFmtId="0" fontId="19" fillId="5" borderId="25" xfId="0" applyFont="1" applyFill="1" applyBorder="1" applyAlignment="1">
      <alignment horizontal="left" wrapText="1"/>
    </xf>
    <xf numFmtId="0" fontId="16" fillId="0" borderId="0" xfId="0" applyFont="1" applyAlignment="1">
      <alignment horizontal="center"/>
    </xf>
    <xf numFmtId="0" fontId="13" fillId="2" borderId="11" xfId="0" applyFont="1" applyFill="1" applyBorder="1" applyAlignment="1">
      <alignment horizontal="center"/>
    </xf>
    <xf numFmtId="0" fontId="13" fillId="0" borderId="0" xfId="0" applyFont="1" applyAlignment="1">
      <alignment horizontal="center"/>
    </xf>
    <xf numFmtId="0" fontId="19" fillId="5" borderId="0" xfId="0" applyFont="1" applyFill="1" applyAlignment="1">
      <alignment horizontal="left" wrapText="1"/>
    </xf>
    <xf numFmtId="0" fontId="0" fillId="5" borderId="0" xfId="0" applyFont="1" applyFill="1" applyAlignment="1">
      <alignment horizontal="left" wrapText="1"/>
    </xf>
    <xf numFmtId="0" fontId="14" fillId="3" borderId="11" xfId="0" applyFont="1" applyFill="1" applyBorder="1" applyAlignment="1">
      <alignment horizontal="center"/>
    </xf>
    <xf numFmtId="0" fontId="14" fillId="0" borderId="0" xfId="0" applyFont="1" applyAlignment="1">
      <alignment horizontal="center"/>
    </xf>
    <xf numFmtId="0" fontId="26" fillId="8" borderId="11" xfId="0" applyFont="1" applyFill="1" applyBorder="1" applyAlignment="1">
      <alignment horizontal="center"/>
    </xf>
    <xf numFmtId="0" fontId="9" fillId="2" borderId="4" xfId="0" applyFont="1" applyFill="1" applyBorder="1" applyAlignment="1">
      <alignment horizontal="center"/>
    </xf>
    <xf numFmtId="0" fontId="4" fillId="0" borderId="44" xfId="0" applyFont="1" applyBorder="1"/>
    <xf numFmtId="0" fontId="4" fillId="0" borderId="45" xfId="0" applyFont="1" applyBorder="1"/>
    <xf numFmtId="0" fontId="4" fillId="0" borderId="46" xfId="0" applyFont="1" applyBorder="1"/>
    <xf numFmtId="0" fontId="4" fillId="0" borderId="47" xfId="0" applyFont="1" applyBorder="1"/>
    <xf numFmtId="0" fontId="6" fillId="0" borderId="48" xfId="0" applyFont="1" applyBorder="1" applyAlignment="1"/>
    <xf numFmtId="0" fontId="4" fillId="0" borderId="49" xfId="0" applyFont="1" applyBorder="1"/>
    <xf numFmtId="0" fontId="4" fillId="0" borderId="50" xfId="0" applyFont="1" applyBorder="1"/>
    <xf numFmtId="0" fontId="6" fillId="0" borderId="4" xfId="0" applyFont="1" applyBorder="1" applyAlignment="1"/>
    <xf numFmtId="0" fontId="4" fillId="0" borderId="9" xfId="0" applyFont="1" applyBorder="1"/>
    <xf numFmtId="0" fontId="4" fillId="0" borderId="51" xfId="0" applyFont="1" applyBorder="1"/>
    <xf numFmtId="0" fontId="30" fillId="0" borderId="4" xfId="0" applyFont="1" applyBorder="1" applyAlignment="1">
      <alignment wrapText="1"/>
    </xf>
    <xf numFmtId="0" fontId="30" fillId="0" borderId="5" xfId="0" applyFont="1" applyBorder="1" applyAlignment="1">
      <alignment wrapText="1"/>
    </xf>
    <xf numFmtId="0" fontId="28" fillId="8" borderId="0" xfId="0" applyFont="1" applyFill="1" applyAlignment="1">
      <alignment horizontal="center" wrapText="1"/>
    </xf>
    <xf numFmtId="0" fontId="27" fillId="0" borderId="0" xfId="0" applyFont="1" applyAlignment="1">
      <alignment wrapText="1"/>
    </xf>
    <xf numFmtId="0" fontId="31" fillId="2" borderId="11" xfId="0" applyFont="1" applyFill="1" applyBorder="1" applyAlignment="1">
      <alignment horizontal="center" wrapText="1"/>
    </xf>
    <xf numFmtId="0" fontId="34" fillId="0" borderId="52" xfId="0" applyFont="1" applyBorder="1" applyAlignment="1">
      <alignment horizontal="center"/>
    </xf>
    <xf numFmtId="0" fontId="4" fillId="0" borderId="18" xfId="0" applyFont="1" applyBorder="1"/>
    <xf numFmtId="0" fontId="40" fillId="2" borderId="48" xfId="0" applyFont="1" applyFill="1" applyBorder="1" applyAlignment="1">
      <alignment horizontal="center" wrapText="1"/>
    </xf>
    <xf numFmtId="0" fontId="30" fillId="0" borderId="45" xfId="0" applyFont="1" applyBorder="1" applyAlignment="1">
      <alignment wrapText="1"/>
    </xf>
    <xf numFmtId="0" fontId="35" fillId="8" borderId="0" xfId="0" applyFont="1" applyFill="1" applyAlignment="1">
      <alignment horizontal="center"/>
    </xf>
    <xf numFmtId="0" fontId="37" fillId="2" borderId="53" xfId="0" applyFont="1" applyFill="1" applyBorder="1" applyAlignment="1">
      <alignment horizontal="center"/>
    </xf>
    <xf numFmtId="0" fontId="4" fillId="0" borderId="54" xfId="0" applyFont="1" applyBorder="1"/>
    <xf numFmtId="0" fontId="4" fillId="0" borderId="55" xfId="0" applyFont="1" applyBorder="1"/>
    <xf numFmtId="0" fontId="36" fillId="9" borderId="0" xfId="0" applyFont="1" applyFill="1" applyAlignment="1">
      <alignment horizontal="center"/>
    </xf>
    <xf numFmtId="0" fontId="8" fillId="2" borderId="58" xfId="0" applyFont="1" applyFill="1" applyBorder="1" applyAlignment="1">
      <alignment horizontal="center"/>
    </xf>
    <xf numFmtId="0" fontId="4" fillId="0" borderId="59" xfId="0" applyFont="1" applyBorder="1"/>
    <xf numFmtId="0" fontId="4" fillId="0" borderId="60" xfId="0" applyFont="1" applyBorder="1"/>
    <xf numFmtId="0" fontId="8" fillId="0" borderId="4" xfId="0" applyFont="1" applyBorder="1" applyAlignment="1">
      <alignment horizontal="center"/>
    </xf>
    <xf numFmtId="0" fontId="38" fillId="0" borderId="48" xfId="0" applyFont="1" applyBorder="1" applyAlignment="1"/>
    <xf numFmtId="0" fontId="9" fillId="8" borderId="0" xfId="0" applyFont="1" applyFill="1" applyAlignment="1">
      <alignment horizontal="center"/>
    </xf>
    <xf numFmtId="0" fontId="38" fillId="2" borderId="48" xfId="0" applyFont="1" applyFill="1" applyBorder="1" applyAlignment="1"/>
    <xf numFmtId="0" fontId="43" fillId="10" borderId="0" xfId="0" applyFont="1" applyFill="1" applyAlignment="1">
      <alignment horizontal="center"/>
    </xf>
    <xf numFmtId="0" fontId="44" fillId="8" borderId="62" xfId="0" applyFont="1" applyFill="1" applyBorder="1" applyAlignment="1">
      <alignment horizontal="center"/>
    </xf>
    <xf numFmtId="0" fontId="4" fillId="0" borderId="63" xfId="0" applyFont="1" applyBorder="1"/>
    <xf numFmtId="0" fontId="4" fillId="0" borderId="6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3</xdr:col>
      <xdr:colOff>466725</xdr:colOff>
      <xdr:row>2</xdr:row>
      <xdr:rowOff>62865</xdr:rowOff>
    </xdr:from>
    <xdr:ext cx="2886075" cy="2543175"/>
    <xdr:pic>
      <xdr:nvPicPr>
        <xdr:cNvPr id="2" name="image2.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6387465" y="878205"/>
          <a:ext cx="2886075" cy="25431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152400</xdr:rowOff>
    </xdr:from>
    <xdr:ext cx="5819775" cy="4362450"/>
    <xdr:sp macro="" textlink="">
      <xdr:nvSpPr>
        <xdr:cNvPr id="3" name="Shape 3">
          <a:extLst>
            <a:ext uri="{FF2B5EF4-FFF2-40B4-BE49-F238E27FC236}">
              <a16:creationId xmlns:a16="http://schemas.microsoft.com/office/drawing/2014/main" id="{00000000-0008-0000-0100-000003000000}"/>
            </a:ext>
          </a:extLst>
        </xdr:cNvPr>
        <xdr:cNvSpPr txBox="1"/>
      </xdr:nvSpPr>
      <xdr:spPr>
        <a:xfrm>
          <a:off x="0" y="0"/>
          <a:ext cx="5811600" cy="4350600"/>
        </a:xfrm>
        <a:prstGeom prst="rect">
          <a:avLst/>
        </a:prstGeom>
        <a:noFill/>
        <a:ln>
          <a:noFill/>
        </a:ln>
      </xdr:spPr>
      <xdr:txBody>
        <a:bodyPr spcFirstLastPara="1" wrap="square" lIns="91425" tIns="91425" rIns="91425" bIns="91425" anchor="t" anchorCtr="0">
          <a:spAutoFit/>
        </a:bodyPr>
        <a:lstStyle/>
        <a:p>
          <a:pPr marL="0" lvl="0" indent="0" algn="ctr" rtl="0">
            <a:lnSpc>
              <a:spcPct val="115000"/>
            </a:lnSpc>
            <a:spcBef>
              <a:spcPts val="1200"/>
            </a:spcBef>
            <a:spcAft>
              <a:spcPts val="0"/>
            </a:spcAft>
            <a:buNone/>
          </a:pPr>
          <a:r>
            <a:rPr lang="en-US" sz="1500" b="1" u="sng">
              <a:latin typeface="Times"/>
              <a:ea typeface="Times"/>
              <a:cs typeface="Times"/>
              <a:sym typeface="Times"/>
            </a:rPr>
            <a:t>Hindustan Unilever Limited </a:t>
          </a:r>
          <a:endParaRPr sz="1500" b="1" u="sng">
            <a:latin typeface="Times"/>
            <a:ea typeface="Times"/>
            <a:cs typeface="Times"/>
            <a:sym typeface="Times"/>
          </a:endParaRPr>
        </a:p>
        <a:p>
          <a:pPr marL="0" lvl="0" indent="0" algn="l" rtl="0">
            <a:lnSpc>
              <a:spcPct val="115000"/>
            </a:lnSpc>
            <a:spcBef>
              <a:spcPts val="1200"/>
            </a:spcBef>
            <a:spcAft>
              <a:spcPts val="0"/>
            </a:spcAft>
            <a:buNone/>
          </a:pPr>
          <a:r>
            <a:rPr lang="en-US" sz="1100" b="1"/>
            <a:t>Hindustan Unilever Limited (HUL)</a:t>
          </a:r>
          <a:r>
            <a:rPr lang="en-US" sz="1100"/>
            <a:t> is India's largest fast-moving consumer goods (FMCG) company and a subsidiary of the British-Dutch multinational Unilever. Established in 1933, HUL has grown to become one of India's most trusted and valuable companies, with a presence in virtually every Indian household.</a:t>
          </a:r>
          <a:endParaRPr sz="1100"/>
        </a:p>
        <a:p>
          <a:pPr marL="0" lvl="0" indent="0" algn="l" rtl="0">
            <a:lnSpc>
              <a:spcPct val="115000"/>
            </a:lnSpc>
            <a:spcBef>
              <a:spcPts val="1200"/>
            </a:spcBef>
            <a:spcAft>
              <a:spcPts val="0"/>
            </a:spcAft>
            <a:buNone/>
          </a:pPr>
          <a:r>
            <a:rPr lang="en-US" sz="1100"/>
            <a:t>The company operates across multiple categories including home care, personal care, foods, and refreshments. Its extensive portfolio features over 50 well-known brands such as Dove, Surf Excel, Lifebuoy, Lux, Rin, Fair &amp; Lovely (now Glow &amp; Lovely), Vim, Knorr, Bru, and Horlicks. These brands cater to diverse consumer needs across various price segments, making HUL products accessible to millions of Indians.</a:t>
          </a:r>
          <a:endParaRPr sz="1100"/>
        </a:p>
        <a:p>
          <a:pPr marL="0" lvl="0" indent="0" algn="l" rtl="0">
            <a:lnSpc>
              <a:spcPct val="115000"/>
            </a:lnSpc>
            <a:spcBef>
              <a:spcPts val="1200"/>
            </a:spcBef>
            <a:spcAft>
              <a:spcPts val="0"/>
            </a:spcAft>
            <a:buNone/>
          </a:pPr>
          <a:r>
            <a:rPr lang="en-US" sz="1100"/>
            <a:t>HUL's business model is characterized by strong distribution networks reaching over 8 million retail outlets across India, from urban centers to remote rural areas. The company employs thousands of people directly and supports millions more through its extensive supply chain and distribution system.</a:t>
          </a:r>
          <a:endParaRPr sz="1100"/>
        </a:p>
        <a:p>
          <a:pPr marL="0" lvl="0" indent="0" algn="l" rtl="0">
            <a:lnSpc>
              <a:spcPct val="115000"/>
            </a:lnSpc>
            <a:spcBef>
              <a:spcPts val="1200"/>
            </a:spcBef>
            <a:spcAft>
              <a:spcPts val="1200"/>
            </a:spcAft>
            <a:buNone/>
          </a:pPr>
          <a:r>
            <a:rPr lang="en-US" sz="1100"/>
            <a:t>From a financial perspective, HUL is listed on both the Bombay Stock Exchange (BSE) and National Stock Exchange (NSE), with consistent revenue growth and strong profitability margins. The company is known for its robust governance practices, sustainable business operations, and commitment to social responsibility initiatives.</a:t>
          </a:r>
          <a:endParaRPr sz="1100"/>
        </a:p>
      </xdr:txBody>
    </xdr:sp>
    <xdr:clientData fLocksWithSheet="0"/>
  </xdr:oneCellAnchor>
  <xdr:oneCellAnchor>
    <xdr:from>
      <xdr:col>6</xdr:col>
      <xdr:colOff>676275</xdr:colOff>
      <xdr:row>0</xdr:row>
      <xdr:rowOff>152400</xdr:rowOff>
    </xdr:from>
    <xdr:ext cx="8134350" cy="5029200"/>
    <xdr:pic>
      <xdr:nvPicPr>
        <xdr:cNvPr id="2" name="image3.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552450</xdr:colOff>
      <xdr:row>26</xdr:row>
      <xdr:rowOff>85725</xdr:rowOff>
    </xdr:from>
    <xdr:ext cx="7791450" cy="5857875"/>
    <xdr:pic>
      <xdr:nvPicPr>
        <xdr:cNvPr id="4" name="image1.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638175</xdr:colOff>
      <xdr:row>0</xdr:row>
      <xdr:rowOff>0</xdr:rowOff>
    </xdr:from>
    <xdr:ext cx="695325" cy="619125"/>
    <xdr:pic>
      <xdr:nvPicPr>
        <xdr:cNvPr id="5" name="image2.jp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152400</xdr:colOff>
      <xdr:row>17</xdr:row>
      <xdr:rowOff>161925</xdr:rowOff>
    </xdr:from>
    <xdr:ext cx="8543925" cy="4619625"/>
    <xdr:sp macro="" textlink="">
      <xdr:nvSpPr>
        <xdr:cNvPr id="4" name="Shape 4">
          <a:extLst>
            <a:ext uri="{FF2B5EF4-FFF2-40B4-BE49-F238E27FC236}">
              <a16:creationId xmlns:a16="http://schemas.microsoft.com/office/drawing/2014/main" id="{00000000-0008-0000-0600-000004000000}"/>
            </a:ext>
          </a:extLst>
        </xdr:cNvPr>
        <xdr:cNvSpPr txBox="1"/>
      </xdr:nvSpPr>
      <xdr:spPr>
        <a:xfrm>
          <a:off x="0" y="0"/>
          <a:ext cx="8535900" cy="4613100"/>
        </a:xfrm>
        <a:prstGeom prst="rect">
          <a:avLst/>
        </a:prstGeom>
        <a:noFill/>
        <a:ln>
          <a:noFill/>
        </a:ln>
      </xdr:spPr>
      <xdr:txBody>
        <a:bodyPr spcFirstLastPara="1" wrap="square" lIns="91425" tIns="91425" rIns="91425" bIns="91425" anchor="t" anchorCtr="0">
          <a:spAutoFit/>
        </a:bodyPr>
        <a:lstStyle/>
        <a:p>
          <a:pPr marL="0" lvl="0" indent="0" algn="ctr" rtl="0">
            <a:lnSpc>
              <a:spcPct val="115000"/>
            </a:lnSpc>
            <a:spcBef>
              <a:spcPts val="1800"/>
            </a:spcBef>
            <a:spcAft>
              <a:spcPts val="0"/>
            </a:spcAft>
            <a:buNone/>
          </a:pPr>
          <a:r>
            <a:rPr lang="en-US" sz="1900" b="1" u="sng">
              <a:highlight>
                <a:srgbClr val="00FF00"/>
              </a:highlight>
            </a:rPr>
            <a:t>Interpretation:-</a:t>
          </a:r>
          <a:endParaRPr sz="1900" b="1" u="sng">
            <a:highlight>
              <a:srgbClr val="00FF00"/>
            </a:highlight>
          </a:endParaRPr>
        </a:p>
        <a:p>
          <a:pPr marL="0" lvl="0" indent="0" algn="l" rtl="0">
            <a:lnSpc>
              <a:spcPct val="115000"/>
            </a:lnSpc>
            <a:spcBef>
              <a:spcPts val="1800"/>
            </a:spcBef>
            <a:spcAft>
              <a:spcPts val="0"/>
            </a:spcAft>
            <a:buNone/>
          </a:pPr>
          <a:r>
            <a:rPr lang="en-US" sz="1700" b="1">
              <a:highlight>
                <a:srgbClr val="EA9999"/>
              </a:highlight>
            </a:rPr>
            <a:t>Liquidity Position</a:t>
          </a:r>
          <a:endParaRPr sz="1700" b="1">
            <a:highlight>
              <a:srgbClr val="EA9999"/>
            </a:highlight>
          </a:endParaRPr>
        </a:p>
        <a:p>
          <a:pPr marL="0" lvl="0" indent="0" algn="l" rtl="0">
            <a:lnSpc>
              <a:spcPct val="115000"/>
            </a:lnSpc>
            <a:spcBef>
              <a:spcPts val="1400"/>
            </a:spcBef>
            <a:spcAft>
              <a:spcPts val="0"/>
            </a:spcAft>
            <a:buNone/>
          </a:pPr>
          <a:r>
            <a:rPr lang="en-US" sz="1300" b="1"/>
            <a:t>Current Ratio (1.3 → 1.6 times)</a:t>
          </a:r>
          <a:endParaRPr sz="1300" b="1"/>
        </a:p>
        <a:p>
          <a:pPr marL="0" lvl="0" indent="0" algn="l" rtl="0">
            <a:lnSpc>
              <a:spcPct val="115000"/>
            </a:lnSpc>
            <a:spcBef>
              <a:spcPts val="1200"/>
            </a:spcBef>
            <a:spcAft>
              <a:spcPts val="0"/>
            </a:spcAft>
            <a:buNone/>
          </a:pPr>
          <a:r>
            <a:rPr lang="en-US" sz="1100"/>
            <a:t>The company maintains healthy short-term liquidity throughout the period. The ratio improved from 1.3x in FY21 to 1.6x in FY25, indicating </a:t>
          </a:r>
          <a:r>
            <a:rPr lang="en-US" sz="1100" b="1"/>
            <a:t>strengthening ability to meet short-term obligations</a:t>
          </a:r>
          <a:r>
            <a:rPr lang="en-US" sz="1100"/>
            <a:t>. The upward trend, particularly the jump to 1.6x in FY25, suggests improved working capital management and financial stability.</a:t>
          </a:r>
          <a:endParaRPr sz="1100"/>
        </a:p>
        <a:p>
          <a:pPr marL="0" lvl="0" indent="0" algn="l" rtl="0">
            <a:lnSpc>
              <a:spcPct val="115000"/>
            </a:lnSpc>
            <a:spcBef>
              <a:spcPts val="1800"/>
            </a:spcBef>
            <a:spcAft>
              <a:spcPts val="0"/>
            </a:spcAft>
            <a:buNone/>
          </a:pPr>
          <a:r>
            <a:rPr lang="en-US" sz="1700" b="1">
              <a:highlight>
                <a:srgbClr val="93C47D"/>
              </a:highlight>
            </a:rPr>
            <a:t>Leverage &amp; Solvency</a:t>
          </a:r>
          <a:endParaRPr sz="1700" b="1">
            <a:highlight>
              <a:srgbClr val="93C47D"/>
            </a:highlight>
          </a:endParaRPr>
        </a:p>
        <a:p>
          <a:pPr marL="0" lvl="0" indent="0" algn="l" rtl="0">
            <a:lnSpc>
              <a:spcPct val="115000"/>
            </a:lnSpc>
            <a:spcBef>
              <a:spcPts val="1400"/>
            </a:spcBef>
            <a:spcAft>
              <a:spcPts val="0"/>
            </a:spcAft>
            <a:buNone/>
          </a:pPr>
          <a:r>
            <a:rPr lang="en-US" sz="1300" b="1"/>
            <a:t>Debt-Equity Ratio (0.0 consistently)</a:t>
          </a:r>
          <a:endParaRPr sz="1300" b="1"/>
        </a:p>
        <a:p>
          <a:pPr marL="0" lvl="0" indent="0" algn="l" rtl="0">
            <a:lnSpc>
              <a:spcPct val="115000"/>
            </a:lnSpc>
            <a:spcBef>
              <a:spcPts val="1200"/>
            </a:spcBef>
            <a:spcAft>
              <a:spcPts val="0"/>
            </a:spcAft>
            <a:buNone/>
          </a:pPr>
          <a:r>
            <a:rPr lang="en-US" sz="1100"/>
            <a:t>The company operates with </a:t>
          </a:r>
          <a:r>
            <a:rPr lang="en-US" sz="1100" b="1"/>
            <a:t>zero debt</a:t>
          </a:r>
          <a:r>
            <a:rPr lang="en-US" sz="1100"/>
            <a:t> across all five years, indicating either complete equity financing or that it's generating sufficient internal cash flows. This is an exceptionally conservative capital structure with no financial risk from leverage.</a:t>
          </a:r>
          <a:endParaRPr sz="1100"/>
        </a:p>
        <a:p>
          <a:pPr marL="0" lvl="0" indent="0" algn="l" rtl="0">
            <a:lnSpc>
              <a:spcPct val="115000"/>
            </a:lnSpc>
            <a:spcBef>
              <a:spcPts val="1400"/>
            </a:spcBef>
            <a:spcAft>
              <a:spcPts val="0"/>
            </a:spcAft>
            <a:buNone/>
          </a:pPr>
          <a:r>
            <a:rPr lang="en-US" sz="1300" b="1"/>
            <a:t>Debt Service Coverage Ratio (20.2 → 23.6 times)</a:t>
          </a:r>
          <a:endParaRPr sz="1300" b="1"/>
        </a:p>
        <a:p>
          <a:pPr marL="0" lvl="0" indent="0" algn="l" rtl="0">
            <a:lnSpc>
              <a:spcPct val="115000"/>
            </a:lnSpc>
            <a:spcBef>
              <a:spcPts val="1200"/>
            </a:spcBef>
            <a:spcAft>
              <a:spcPts val="1200"/>
            </a:spcAft>
            <a:buNone/>
          </a:pPr>
          <a:r>
            <a:rPr lang="en-US" sz="1100"/>
            <a:t>Despite having no debt, this ratio shows earnings are 20-23 times the debt service obligations (possibly interest on short-term borrowings). The improvement to 23.6x in FY25 demonstrates </a:t>
          </a:r>
          <a:r>
            <a:rPr lang="en-US" sz="1100" b="1"/>
            <a:t>very strong cash generation capabilities</a:t>
          </a:r>
          <a:r>
            <a:rPr lang="en-US" sz="1100"/>
            <a:t>.</a:t>
          </a:r>
          <a:endParaRPr sz="1100"/>
        </a:p>
      </xdr:txBody>
    </xdr:sp>
    <xdr:clientData fLocksWithSheet="0"/>
  </xdr:oneCellAnchor>
  <xdr:oneCellAnchor>
    <xdr:from>
      <xdr:col>0</xdr:col>
      <xdr:colOff>152400</xdr:colOff>
      <xdr:row>40</xdr:row>
      <xdr:rowOff>161925</xdr:rowOff>
    </xdr:from>
    <xdr:ext cx="7905750" cy="4667250"/>
    <xdr:sp macro="" textlink="">
      <xdr:nvSpPr>
        <xdr:cNvPr id="5" name="Shape 5">
          <a:extLst>
            <a:ext uri="{FF2B5EF4-FFF2-40B4-BE49-F238E27FC236}">
              <a16:creationId xmlns:a16="http://schemas.microsoft.com/office/drawing/2014/main" id="{00000000-0008-0000-0600-000005000000}"/>
            </a:ext>
          </a:extLst>
        </xdr:cNvPr>
        <xdr:cNvSpPr txBox="1"/>
      </xdr:nvSpPr>
      <xdr:spPr>
        <a:xfrm>
          <a:off x="0" y="0"/>
          <a:ext cx="7893300" cy="4661700"/>
        </a:xfrm>
        <a:prstGeom prst="rect">
          <a:avLst/>
        </a:prstGeom>
        <a:noFill/>
        <a:ln>
          <a:noFill/>
        </a:ln>
      </xdr:spPr>
      <xdr:txBody>
        <a:bodyPr spcFirstLastPara="1" wrap="square" lIns="91425" tIns="91425" rIns="91425" bIns="91425" anchor="t" anchorCtr="0">
          <a:spAutoFit/>
        </a:bodyPr>
        <a:lstStyle/>
        <a:p>
          <a:pPr marL="0" lvl="0" indent="0" algn="l" rtl="0">
            <a:lnSpc>
              <a:spcPct val="115000"/>
            </a:lnSpc>
            <a:spcBef>
              <a:spcPts val="1800"/>
            </a:spcBef>
            <a:spcAft>
              <a:spcPts val="0"/>
            </a:spcAft>
            <a:buNone/>
          </a:pPr>
          <a:r>
            <a:rPr lang="en-US" sz="1700" b="1">
              <a:highlight>
                <a:srgbClr val="6FA8DC"/>
              </a:highlight>
            </a:rPr>
            <a:t>Profitability Metrics</a:t>
          </a:r>
          <a:endParaRPr sz="1700" b="1">
            <a:highlight>
              <a:srgbClr val="6FA8DC"/>
            </a:highlight>
          </a:endParaRPr>
        </a:p>
        <a:p>
          <a:pPr marL="0" lvl="0" indent="0" algn="l" rtl="0">
            <a:lnSpc>
              <a:spcPct val="115000"/>
            </a:lnSpc>
            <a:spcBef>
              <a:spcPts val="1400"/>
            </a:spcBef>
            <a:spcAft>
              <a:spcPts val="0"/>
            </a:spcAft>
            <a:buNone/>
          </a:pPr>
          <a:r>
            <a:rPr lang="en-US" sz="1300" b="1"/>
            <a:t>Return on Equity (17.0% → 20.2%)</a:t>
          </a:r>
          <a:endParaRPr sz="1300" b="1"/>
        </a:p>
        <a:p>
          <a:pPr marL="0" lvl="0" indent="0" algn="l" rtl="0">
            <a:lnSpc>
              <a:spcPct val="115000"/>
            </a:lnSpc>
            <a:spcBef>
              <a:spcPts val="1200"/>
            </a:spcBef>
            <a:spcAft>
              <a:spcPts val="0"/>
            </a:spcAft>
            <a:buNone/>
          </a:pPr>
          <a:r>
            <a:rPr lang="en-US" sz="1100"/>
            <a:t>ROE improved consistently from 17% to a peak of 21.3% in FY24, before a slight dip to 20.2% in FY25. This indicates the company is </a:t>
          </a:r>
          <a:r>
            <a:rPr lang="en-US" sz="1100" b="1"/>
            <a:t>generating excellent returns for shareholders</a:t>
          </a:r>
          <a:r>
            <a:rPr lang="en-US" sz="1100"/>
            <a:t>, with roughly ₹20-21 profit for every ₹100 of equity in recent years.</a:t>
          </a:r>
          <a:endParaRPr sz="1100"/>
        </a:p>
        <a:p>
          <a:pPr marL="0" lvl="0" indent="0" algn="l" rtl="0">
            <a:lnSpc>
              <a:spcPct val="115000"/>
            </a:lnSpc>
            <a:spcBef>
              <a:spcPts val="1400"/>
            </a:spcBef>
            <a:spcAft>
              <a:spcPts val="0"/>
            </a:spcAft>
            <a:buNone/>
          </a:pPr>
          <a:r>
            <a:rPr lang="en-US" sz="1300" b="1"/>
            <a:t>Net Profit Ratio (17.6% → 17.0%)</a:t>
          </a:r>
          <a:endParaRPr sz="1300" b="1"/>
        </a:p>
        <a:p>
          <a:pPr marL="0" lvl="0" indent="0" algn="l" rtl="0">
            <a:lnSpc>
              <a:spcPct val="115000"/>
            </a:lnSpc>
            <a:spcBef>
              <a:spcPts val="1200"/>
            </a:spcBef>
            <a:spcAft>
              <a:spcPts val="0"/>
            </a:spcAft>
            <a:buNone/>
          </a:pPr>
          <a:r>
            <a:rPr lang="en-US" sz="1100"/>
            <a:t>The company maintains remarkably stable and high profit margins between 17-17.6% throughout the period. This consistency suggests </a:t>
          </a:r>
          <a:r>
            <a:rPr lang="en-US" sz="1100" b="1"/>
            <a:t>strong pricing power and cost control</a:t>
          </a:r>
          <a:r>
            <a:rPr lang="en-US" sz="1100"/>
            <a:t>. The slight compression to 17% in FY25 warrants monitoring.</a:t>
          </a:r>
          <a:endParaRPr sz="1100"/>
        </a:p>
        <a:p>
          <a:pPr marL="0" lvl="0" indent="0" algn="l" rtl="0">
            <a:lnSpc>
              <a:spcPct val="115000"/>
            </a:lnSpc>
            <a:spcBef>
              <a:spcPts val="1400"/>
            </a:spcBef>
            <a:spcAft>
              <a:spcPts val="0"/>
            </a:spcAft>
            <a:buNone/>
          </a:pPr>
          <a:r>
            <a:rPr lang="en-US" sz="1300" b="1"/>
            <a:t>Return on Capital Employed (113.0% → 96.3%)</a:t>
          </a:r>
          <a:endParaRPr sz="1300" b="1"/>
        </a:p>
        <a:p>
          <a:pPr marL="0" lvl="0" indent="0" algn="l" rtl="0">
            <a:lnSpc>
              <a:spcPct val="115000"/>
            </a:lnSpc>
            <a:spcBef>
              <a:spcPts val="1200"/>
            </a:spcBef>
            <a:spcAft>
              <a:spcPts val="0"/>
            </a:spcAft>
            <a:buNone/>
          </a:pPr>
          <a:r>
            <a:rPr lang="en-US" sz="1100"/>
            <a:t>This exceptionally high ratio (starting at 113%!) shows outstanding capital efficiency, though it's declining over the period. The decrease from 113% to 96.3% suggests either increasing capital base or moderating operating profits. Even at 96.3%, this remains extraordinarily high, indicating the business requires minimal capital investment to generate profits.</a:t>
          </a:r>
          <a:endParaRPr sz="1100"/>
        </a:p>
        <a:p>
          <a:pPr marL="0" lvl="0" indent="0" algn="l" rtl="0">
            <a:lnSpc>
              <a:spcPct val="115000"/>
            </a:lnSpc>
            <a:spcBef>
              <a:spcPts val="1400"/>
            </a:spcBef>
            <a:spcAft>
              <a:spcPts val="0"/>
            </a:spcAft>
            <a:buNone/>
          </a:pPr>
          <a:r>
            <a:rPr lang="en-US" sz="1300" b="1"/>
            <a:t>Return on Investment (4.4% → 7.6%)</a:t>
          </a:r>
          <a:endParaRPr sz="1300" b="1"/>
        </a:p>
        <a:p>
          <a:pPr marL="0" lvl="0" indent="0" algn="l" rtl="0">
            <a:lnSpc>
              <a:spcPct val="115000"/>
            </a:lnSpc>
            <a:spcBef>
              <a:spcPts val="1200"/>
            </a:spcBef>
            <a:spcAft>
              <a:spcPts val="1200"/>
            </a:spcAft>
            <a:buNone/>
          </a:pPr>
          <a:r>
            <a:rPr lang="en-US" sz="1100"/>
            <a:t>ROI has improved significantly from 4.4% in FY21 to 7.6% in FY25, showing </a:t>
          </a:r>
          <a:r>
            <a:rPr lang="en-US" sz="1100" b="1"/>
            <a:t>better investment performance</a:t>
          </a:r>
          <a:r>
            <a:rPr lang="en-US" sz="1100"/>
            <a:t> and more efficient deployment of surplus funds.</a:t>
          </a:r>
          <a:endParaRPr sz="1100"/>
        </a:p>
      </xdr:txBody>
    </xdr:sp>
    <xdr:clientData fLocksWithSheet="0"/>
  </xdr:oneCellAnchor>
  <xdr:oneCellAnchor>
    <xdr:from>
      <xdr:col>0</xdr:col>
      <xdr:colOff>190500</xdr:colOff>
      <xdr:row>64</xdr:row>
      <xdr:rowOff>76200</xdr:rowOff>
    </xdr:from>
    <xdr:ext cx="8191500" cy="4286250"/>
    <xdr:sp macro="" textlink="">
      <xdr:nvSpPr>
        <xdr:cNvPr id="6" name="Shape 6">
          <a:extLst>
            <a:ext uri="{FF2B5EF4-FFF2-40B4-BE49-F238E27FC236}">
              <a16:creationId xmlns:a16="http://schemas.microsoft.com/office/drawing/2014/main" id="{00000000-0008-0000-0600-000006000000}"/>
            </a:ext>
          </a:extLst>
        </xdr:cNvPr>
        <xdr:cNvSpPr txBox="1"/>
      </xdr:nvSpPr>
      <xdr:spPr>
        <a:xfrm>
          <a:off x="0" y="0"/>
          <a:ext cx="8184600" cy="4272300"/>
        </a:xfrm>
        <a:prstGeom prst="rect">
          <a:avLst/>
        </a:prstGeom>
        <a:noFill/>
        <a:ln>
          <a:noFill/>
        </a:ln>
      </xdr:spPr>
      <xdr:txBody>
        <a:bodyPr spcFirstLastPara="1" wrap="square" lIns="91425" tIns="91425" rIns="91425" bIns="91425" anchor="t" anchorCtr="0">
          <a:spAutoFit/>
        </a:bodyPr>
        <a:lstStyle/>
        <a:p>
          <a:pPr marL="0" lvl="0" indent="0" algn="l" rtl="0">
            <a:lnSpc>
              <a:spcPct val="115000"/>
            </a:lnSpc>
            <a:spcBef>
              <a:spcPts val="1800"/>
            </a:spcBef>
            <a:spcAft>
              <a:spcPts val="0"/>
            </a:spcAft>
            <a:buNone/>
          </a:pPr>
          <a:r>
            <a:rPr lang="en-US" sz="1700" b="1">
              <a:highlight>
                <a:srgbClr val="00FFFF"/>
              </a:highlight>
            </a:rPr>
            <a:t>Efficiency Ratios</a:t>
          </a:r>
          <a:endParaRPr sz="1700" b="1">
            <a:highlight>
              <a:srgbClr val="00FFFF"/>
            </a:highlight>
          </a:endParaRPr>
        </a:p>
        <a:p>
          <a:pPr marL="0" lvl="0" indent="0" algn="l" rtl="0">
            <a:lnSpc>
              <a:spcPct val="115000"/>
            </a:lnSpc>
            <a:spcBef>
              <a:spcPts val="1400"/>
            </a:spcBef>
            <a:spcAft>
              <a:spcPts val="0"/>
            </a:spcAft>
            <a:buNone/>
          </a:pPr>
          <a:r>
            <a:rPr lang="en-US" sz="1300" b="1"/>
            <a:t>Inventory Turnover (14.0 → 15.2 times)</a:t>
          </a:r>
          <a:endParaRPr sz="1300" b="1"/>
        </a:p>
        <a:p>
          <a:pPr marL="0" lvl="0" indent="0" algn="l" rtl="0">
            <a:lnSpc>
              <a:spcPct val="115000"/>
            </a:lnSpc>
            <a:spcBef>
              <a:spcPts val="1200"/>
            </a:spcBef>
            <a:spcAft>
              <a:spcPts val="0"/>
            </a:spcAft>
            <a:buNone/>
          </a:pPr>
          <a:r>
            <a:rPr lang="en-US" sz="1100"/>
            <a:t>Inventory is turning over approximately every 24 days, improving from 14x to 15.2x. This indicates </a:t>
          </a:r>
          <a:r>
            <a:rPr lang="en-US" sz="1100" b="1"/>
            <a:t>efficient inventory management</a:t>
          </a:r>
          <a:r>
            <a:rPr lang="en-US" sz="1100"/>
            <a:t> with minimal capital tied up in stock.</a:t>
          </a:r>
          <a:endParaRPr sz="1100"/>
        </a:p>
        <a:p>
          <a:pPr marL="0" lvl="0" indent="0" algn="l" rtl="0">
            <a:lnSpc>
              <a:spcPct val="115000"/>
            </a:lnSpc>
            <a:spcBef>
              <a:spcPts val="1400"/>
            </a:spcBef>
            <a:spcAft>
              <a:spcPts val="0"/>
            </a:spcAft>
            <a:buNone/>
          </a:pPr>
          <a:r>
            <a:rPr lang="en-US" sz="1300" b="1"/>
            <a:t>Trade Receivables Turnover (30.2 → 22.0 times)</a:t>
          </a:r>
          <a:endParaRPr sz="1300" b="1"/>
        </a:p>
        <a:p>
          <a:pPr marL="0" lvl="0" indent="0" algn="l" rtl="0">
            <a:lnSpc>
              <a:spcPct val="115000"/>
            </a:lnSpc>
            <a:spcBef>
              <a:spcPts val="1200"/>
            </a:spcBef>
            <a:spcAft>
              <a:spcPts val="0"/>
            </a:spcAft>
            <a:buNone/>
          </a:pPr>
          <a:r>
            <a:rPr lang="en-US" sz="1100"/>
            <a:t>This ratio declined from 30.2x to 22x, meaning collection period increased from ~12 days to ~17 days. While still excellent, the </a:t>
          </a:r>
          <a:r>
            <a:rPr lang="en-US" sz="1100" b="1"/>
            <a:t>slowing collections</a:t>
          </a:r>
          <a:r>
            <a:rPr lang="en-US" sz="1100"/>
            <a:t> suggest either extended credit terms to customers or collection challenges that should be monitored.</a:t>
          </a:r>
          <a:endParaRPr sz="1100"/>
        </a:p>
        <a:p>
          <a:pPr marL="0" lvl="0" indent="0" algn="l" rtl="0">
            <a:lnSpc>
              <a:spcPct val="115000"/>
            </a:lnSpc>
            <a:spcBef>
              <a:spcPts val="1400"/>
            </a:spcBef>
            <a:spcAft>
              <a:spcPts val="0"/>
            </a:spcAft>
            <a:buNone/>
          </a:pPr>
          <a:r>
            <a:rPr lang="en-US" sz="1300" b="1"/>
            <a:t>Trade Payables Turnover (4.0 → 4.3 times)</a:t>
          </a:r>
          <a:endParaRPr sz="1300" b="1"/>
        </a:p>
        <a:p>
          <a:pPr marL="0" lvl="0" indent="0" algn="l" rtl="0">
            <a:lnSpc>
              <a:spcPct val="115000"/>
            </a:lnSpc>
            <a:spcBef>
              <a:spcPts val="1200"/>
            </a:spcBef>
            <a:spcAft>
              <a:spcPts val="0"/>
            </a:spcAft>
            <a:buNone/>
          </a:pPr>
          <a:r>
            <a:rPr lang="en-US" sz="1100"/>
            <a:t>The company takes approximately 85-90 days to pay suppliers, remaining stable across the period. This provides beneficial cash flow timing as they collect from customers much faster than paying suppliers.</a:t>
          </a:r>
          <a:endParaRPr sz="1100"/>
        </a:p>
        <a:p>
          <a:pPr marL="0" lvl="0" indent="0" algn="l" rtl="0">
            <a:lnSpc>
              <a:spcPct val="115000"/>
            </a:lnSpc>
            <a:spcBef>
              <a:spcPts val="1400"/>
            </a:spcBef>
            <a:spcAft>
              <a:spcPts val="0"/>
            </a:spcAft>
            <a:buNone/>
          </a:pPr>
          <a:r>
            <a:rPr lang="en-US" sz="1300" b="1"/>
            <a:t>Net Capital Turnover (16.2 → 7.6 times)</a:t>
          </a:r>
          <a:endParaRPr sz="1300" b="1"/>
        </a:p>
        <a:p>
          <a:pPr marL="0" lvl="0" indent="0" algn="l" rtl="0">
            <a:lnSpc>
              <a:spcPct val="115000"/>
            </a:lnSpc>
            <a:spcBef>
              <a:spcPts val="1200"/>
            </a:spcBef>
            <a:spcAft>
              <a:spcPts val="1200"/>
            </a:spcAft>
            <a:buNone/>
          </a:pPr>
          <a:r>
            <a:rPr lang="en-US" sz="1100"/>
            <a:t>This significant decline from 16.2x to 7.6x indicates that </a:t>
          </a:r>
          <a:r>
            <a:rPr lang="en-US" sz="1100" b="1"/>
            <a:t>working capital is growing faster than sales</a:t>
          </a:r>
          <a:r>
            <a:rPr lang="en-US" sz="1100"/>
            <a:t>. This could mean either sales growth is slowing or the company is maintaining higher working capital buffers, reducing capital efficiency.</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152400</xdr:colOff>
      <xdr:row>2</xdr:row>
      <xdr:rowOff>152400</xdr:rowOff>
    </xdr:from>
    <xdr:ext cx="6410325" cy="5124450"/>
    <xdr:sp macro="" textlink="">
      <xdr:nvSpPr>
        <xdr:cNvPr id="7" name="Shape 7">
          <a:extLst>
            <a:ext uri="{FF2B5EF4-FFF2-40B4-BE49-F238E27FC236}">
              <a16:creationId xmlns:a16="http://schemas.microsoft.com/office/drawing/2014/main" id="{00000000-0008-0000-0B00-000007000000}"/>
            </a:ext>
          </a:extLst>
        </xdr:cNvPr>
        <xdr:cNvSpPr txBox="1"/>
      </xdr:nvSpPr>
      <xdr:spPr>
        <a:xfrm>
          <a:off x="550175" y="276100"/>
          <a:ext cx="6395100" cy="5103600"/>
        </a:xfrm>
        <a:prstGeom prst="rect">
          <a:avLst/>
        </a:prstGeom>
        <a:noFill/>
        <a:ln w="9525" cap="flat" cmpd="sng">
          <a:solidFill>
            <a:srgbClr val="00FF00"/>
          </a:solidFill>
          <a:prstDash val="solid"/>
          <a:round/>
          <a:headEnd type="none" w="sm" len="sm"/>
          <a:tailEnd type="none" w="sm" len="sm"/>
        </a:ln>
      </xdr:spPr>
      <xdr:txBody>
        <a:bodyPr spcFirstLastPara="1" wrap="square" lIns="91425" tIns="91425" rIns="91425" bIns="91425" anchor="t" anchorCtr="0">
          <a:spAutoFit/>
        </a:bodyPr>
        <a:lstStyle/>
        <a:p>
          <a:pPr marL="0" lvl="0" indent="0" algn="l" rtl="0">
            <a:lnSpc>
              <a:spcPct val="115000"/>
            </a:lnSpc>
            <a:spcBef>
              <a:spcPts val="1800"/>
            </a:spcBef>
            <a:spcAft>
              <a:spcPts val="0"/>
            </a:spcAft>
            <a:buNone/>
          </a:pPr>
          <a:r>
            <a:rPr lang="en-US" sz="1700" b="1">
              <a:highlight>
                <a:srgbClr val="00FF00"/>
              </a:highlight>
            </a:rPr>
            <a:t>FOR STOCK MARKET INVESTORS :-</a:t>
          </a:r>
          <a:endParaRPr sz="1700" b="1">
            <a:highlight>
              <a:srgbClr val="00FF00"/>
            </a:highlight>
          </a:endParaRPr>
        </a:p>
        <a:p>
          <a:pPr marL="0" lvl="0" indent="0" algn="l" rtl="0">
            <a:lnSpc>
              <a:spcPct val="115000"/>
            </a:lnSpc>
            <a:spcBef>
              <a:spcPts val="1400"/>
            </a:spcBef>
            <a:spcAft>
              <a:spcPts val="0"/>
            </a:spcAft>
            <a:buNone/>
          </a:pPr>
          <a:r>
            <a:rPr lang="en-US" sz="1300" b="1"/>
            <a:t>My Advice: Keep Your Shares, Don't Buy More Right Now</a:t>
          </a:r>
          <a:endParaRPr sz="1300" b="1"/>
        </a:p>
        <a:p>
          <a:pPr marL="0" lvl="0" indent="0" algn="l" rtl="0">
            <a:lnSpc>
              <a:spcPct val="115000"/>
            </a:lnSpc>
            <a:spcBef>
              <a:spcPts val="1200"/>
            </a:spcBef>
            <a:spcAft>
              <a:spcPts val="0"/>
            </a:spcAft>
            <a:buNone/>
          </a:pPr>
          <a:r>
            <a:rPr lang="en-US" sz="1100" b="1"/>
            <a:t>Good News:</a:t>
          </a:r>
          <a:endParaRPr sz="1100" b="1"/>
        </a:p>
        <a:p>
          <a:pPr marL="457200" lvl="0" indent="-298450" algn="l" rtl="0">
            <a:lnSpc>
              <a:spcPct val="115000"/>
            </a:lnSpc>
            <a:spcBef>
              <a:spcPts val="1200"/>
            </a:spcBef>
            <a:spcAft>
              <a:spcPts val="0"/>
            </a:spcAft>
            <a:buSzPts val="1100"/>
            <a:buChar char="●"/>
          </a:pPr>
          <a:r>
            <a:rPr lang="en-US" sz="1100"/>
            <a:t>Company is making good profits - every ₹100 invested by shareholders is earning ₹21.65</a:t>
          </a:r>
          <a:endParaRPr sz="1100"/>
        </a:p>
        <a:p>
          <a:pPr marL="457200" lvl="0" indent="-298450" algn="l" rtl="0">
            <a:lnSpc>
              <a:spcPct val="115000"/>
            </a:lnSpc>
            <a:spcBef>
              <a:spcPts val="0"/>
            </a:spcBef>
            <a:spcAft>
              <a:spcPts val="0"/>
            </a:spcAft>
            <a:buSzPts val="1100"/>
            <a:buChar char="●"/>
          </a:pPr>
          <a:r>
            <a:rPr lang="en-US" sz="1100"/>
            <a:t>Making consistent money every year</a:t>
          </a:r>
          <a:endParaRPr sz="1100"/>
        </a:p>
        <a:p>
          <a:pPr marL="457200" lvl="0" indent="-298450" algn="l" rtl="0">
            <a:lnSpc>
              <a:spcPct val="115000"/>
            </a:lnSpc>
            <a:spcBef>
              <a:spcPts val="0"/>
            </a:spcBef>
            <a:spcAft>
              <a:spcPts val="0"/>
            </a:spcAft>
            <a:buSzPts val="1100"/>
            <a:buChar char="●"/>
          </a:pPr>
          <a:r>
            <a:rPr lang="en-US" sz="1100"/>
            <a:t>Very low chance of going bankrupt (company is very safe)</a:t>
          </a:r>
          <a:endParaRPr sz="1100"/>
        </a:p>
        <a:p>
          <a:pPr marL="457200" lvl="0" indent="-298450" algn="l" rtl="0">
            <a:lnSpc>
              <a:spcPct val="115000"/>
            </a:lnSpc>
            <a:spcBef>
              <a:spcPts val="0"/>
            </a:spcBef>
            <a:spcAft>
              <a:spcPts val="0"/>
            </a:spcAft>
            <a:buSzPts val="1100"/>
            <a:buChar char="●"/>
          </a:pPr>
          <a:r>
            <a:rPr lang="en-US" sz="1100"/>
            <a:t>Profit margins are stable around 17% (for every ₹100 sale, ₹17 is profit)</a:t>
          </a:r>
          <a:endParaRPr sz="1100"/>
        </a:p>
        <a:p>
          <a:pPr marL="457200" lvl="0" indent="-298450" algn="l" rtl="0">
            <a:lnSpc>
              <a:spcPct val="115000"/>
            </a:lnSpc>
            <a:spcBef>
              <a:spcPts val="0"/>
            </a:spcBef>
            <a:spcAft>
              <a:spcPts val="0"/>
            </a:spcAft>
            <a:buSzPts val="1100"/>
            <a:buChar char="●"/>
          </a:pPr>
          <a:r>
            <a:rPr lang="en-US" sz="1100"/>
            <a:t>Earnings per share grew from ₹33.85 to ₹45.29 in 5 years</a:t>
          </a:r>
          <a:endParaRPr sz="1100"/>
        </a:p>
        <a:p>
          <a:pPr marL="0" lvl="0" indent="0" algn="l" rtl="0">
            <a:lnSpc>
              <a:spcPct val="115000"/>
            </a:lnSpc>
            <a:spcBef>
              <a:spcPts val="1200"/>
            </a:spcBef>
            <a:spcAft>
              <a:spcPts val="0"/>
            </a:spcAft>
            <a:buNone/>
          </a:pPr>
          <a:r>
            <a:rPr lang="en-US" sz="1100" b="1"/>
            <a:t>Bad News:</a:t>
          </a:r>
          <a:endParaRPr sz="1100" b="1"/>
        </a:p>
        <a:p>
          <a:pPr marL="457200" lvl="0" indent="-298450" algn="l" rtl="0">
            <a:lnSpc>
              <a:spcPct val="115000"/>
            </a:lnSpc>
            <a:spcBef>
              <a:spcPts val="1200"/>
            </a:spcBef>
            <a:spcAft>
              <a:spcPts val="0"/>
            </a:spcAft>
            <a:buSzPts val="1100"/>
            <a:buChar char="●"/>
          </a:pPr>
          <a:r>
            <a:rPr lang="en-US" sz="1100"/>
            <a:t>Company's savings decreased by ₹1,820 crores last year (maybe paid too much dividend)</a:t>
          </a:r>
          <a:endParaRPr sz="1100"/>
        </a:p>
        <a:p>
          <a:pPr marL="457200" lvl="0" indent="-298450" algn="l" rtl="0">
            <a:lnSpc>
              <a:spcPct val="115000"/>
            </a:lnSpc>
            <a:spcBef>
              <a:spcPts val="0"/>
            </a:spcBef>
            <a:spcAft>
              <a:spcPts val="0"/>
            </a:spcAft>
            <a:buSzPts val="1100"/>
            <a:buChar char="●"/>
          </a:pPr>
          <a:r>
            <a:rPr lang="en-US" sz="1100"/>
            <a:t>Financial health score dropped from 7/9 to 5/9 (getting weaker)</a:t>
          </a:r>
          <a:endParaRPr sz="1100"/>
        </a:p>
        <a:p>
          <a:pPr marL="457200" lvl="0" indent="-298450" algn="l" rtl="0">
            <a:lnSpc>
              <a:spcPct val="115000"/>
            </a:lnSpc>
            <a:spcBef>
              <a:spcPts val="0"/>
            </a:spcBef>
            <a:spcAft>
              <a:spcPts val="0"/>
            </a:spcAft>
            <a:buSzPts val="1100"/>
            <a:buChar char="●"/>
          </a:pPr>
          <a:r>
            <a:rPr lang="en-US" sz="1100"/>
            <a:t>Less cash available for daily operations</a:t>
          </a:r>
          <a:endParaRPr sz="1100"/>
        </a:p>
        <a:p>
          <a:pPr marL="457200" lvl="0" indent="-298450" algn="l" rtl="0">
            <a:lnSpc>
              <a:spcPct val="115000"/>
            </a:lnSpc>
            <a:spcBef>
              <a:spcPts val="0"/>
            </a:spcBef>
            <a:spcAft>
              <a:spcPts val="0"/>
            </a:spcAft>
            <a:buSzPts val="1100"/>
            <a:buChar char="●"/>
          </a:pPr>
          <a:r>
            <a:rPr lang="en-US" sz="1100"/>
            <a:t>Taking more loans than before</a:t>
          </a:r>
          <a:endParaRPr sz="1100"/>
        </a:p>
        <a:p>
          <a:pPr marL="457200" lvl="0" indent="-298450" algn="l" rtl="0">
            <a:lnSpc>
              <a:spcPct val="115000"/>
            </a:lnSpc>
            <a:spcBef>
              <a:spcPts val="0"/>
            </a:spcBef>
            <a:spcAft>
              <a:spcPts val="0"/>
            </a:spcAft>
            <a:buSzPts val="1100"/>
            <a:buChar char="●"/>
          </a:pPr>
          <a:r>
            <a:rPr lang="en-US" sz="1100"/>
            <a:t>Not using assets efficiently - sales not growing as fast as investments</a:t>
          </a:r>
          <a:endParaRPr sz="1100"/>
        </a:p>
        <a:p>
          <a:pPr marL="0" lvl="0" indent="0" algn="l" rtl="0">
            <a:lnSpc>
              <a:spcPct val="115000"/>
            </a:lnSpc>
            <a:spcBef>
              <a:spcPts val="1200"/>
            </a:spcBef>
            <a:spcAft>
              <a:spcPts val="0"/>
            </a:spcAft>
            <a:buNone/>
          </a:pPr>
          <a:r>
            <a:rPr lang="en-US" sz="1100" b="1"/>
            <a:t>What Should You Do:</a:t>
          </a:r>
          <a:endParaRPr sz="1100" b="1"/>
        </a:p>
        <a:p>
          <a:pPr marL="457200" lvl="0" indent="-298450" algn="l" rtl="0">
            <a:lnSpc>
              <a:spcPct val="115000"/>
            </a:lnSpc>
            <a:spcBef>
              <a:spcPts val="1200"/>
            </a:spcBef>
            <a:spcAft>
              <a:spcPts val="0"/>
            </a:spcAft>
            <a:buSzPts val="1100"/>
            <a:buChar char="●"/>
          </a:pPr>
          <a:r>
            <a:rPr lang="en-US" sz="1100"/>
            <a:t>If you own shares - keep them but watch carefully</a:t>
          </a:r>
          <a:endParaRPr sz="1100"/>
        </a:p>
        <a:p>
          <a:pPr marL="457200" lvl="0" indent="-298450" algn="l" rtl="0">
            <a:lnSpc>
              <a:spcPct val="115000"/>
            </a:lnSpc>
            <a:spcBef>
              <a:spcPts val="0"/>
            </a:spcBef>
            <a:spcAft>
              <a:spcPts val="0"/>
            </a:spcAft>
            <a:buSzPts val="1100"/>
            <a:buChar char="●"/>
          </a:pPr>
          <a:r>
            <a:rPr lang="en-US" sz="1100"/>
            <a:t>If you want to buy - wait for better signs</a:t>
          </a:r>
          <a:endParaRPr sz="1100"/>
        </a:p>
        <a:p>
          <a:pPr marL="457200" lvl="0" indent="-298450" algn="l" rtl="0">
            <a:lnSpc>
              <a:spcPct val="115000"/>
            </a:lnSpc>
            <a:spcBef>
              <a:spcPts val="0"/>
            </a:spcBef>
            <a:spcAft>
              <a:spcPts val="0"/>
            </a:spcAft>
            <a:buSzPts val="1100"/>
            <a:buChar char="●"/>
          </a:pPr>
          <a:r>
            <a:rPr lang="en-US" sz="1100"/>
            <a:t>Good for people who want regular dividends</a:t>
          </a:r>
          <a:endParaRPr sz="1100"/>
        </a:p>
        <a:p>
          <a:pPr marL="457200" lvl="0" indent="-298450" algn="l" rtl="0">
            <a:lnSpc>
              <a:spcPct val="115000"/>
            </a:lnSpc>
            <a:spcBef>
              <a:spcPts val="0"/>
            </a:spcBef>
            <a:spcAft>
              <a:spcPts val="0"/>
            </a:spcAft>
            <a:buSzPts val="1100"/>
            <a:buChar char="●"/>
          </a:pPr>
          <a:r>
            <a:rPr lang="en-US" sz="1100"/>
            <a:t>Not great for people looking for big growth right now</a:t>
          </a:r>
          <a:endParaRPr sz="1500" b="1">
            <a:highlight>
              <a:srgbClr val="00FF00"/>
            </a:highlight>
          </a:endParaRPr>
        </a:p>
      </xdr:txBody>
    </xdr:sp>
    <xdr:clientData fLocksWithSheet="0"/>
  </xdr:oneCellAnchor>
  <xdr:oneCellAnchor>
    <xdr:from>
      <xdr:col>5</xdr:col>
      <xdr:colOff>762000</xdr:colOff>
      <xdr:row>2</xdr:row>
      <xdr:rowOff>152400</xdr:rowOff>
    </xdr:from>
    <xdr:ext cx="6496050" cy="4391025"/>
    <xdr:sp macro="" textlink="">
      <xdr:nvSpPr>
        <xdr:cNvPr id="8" name="Shape 8">
          <a:extLst>
            <a:ext uri="{FF2B5EF4-FFF2-40B4-BE49-F238E27FC236}">
              <a16:creationId xmlns:a16="http://schemas.microsoft.com/office/drawing/2014/main" id="{00000000-0008-0000-0B00-000008000000}"/>
            </a:ext>
          </a:extLst>
        </xdr:cNvPr>
        <xdr:cNvSpPr txBox="1"/>
      </xdr:nvSpPr>
      <xdr:spPr>
        <a:xfrm>
          <a:off x="357325" y="134000"/>
          <a:ext cx="6476400" cy="4376100"/>
        </a:xfrm>
        <a:prstGeom prst="rect">
          <a:avLst/>
        </a:prstGeom>
        <a:noFill/>
        <a:ln w="9525" cap="flat" cmpd="sng">
          <a:solidFill>
            <a:srgbClr val="FF00FF"/>
          </a:solidFill>
          <a:prstDash val="solid"/>
          <a:round/>
          <a:headEnd type="none" w="sm" len="sm"/>
          <a:tailEnd type="none" w="sm" len="sm"/>
        </a:ln>
      </xdr:spPr>
      <xdr:txBody>
        <a:bodyPr spcFirstLastPara="1" wrap="square" lIns="91425" tIns="91425" rIns="91425" bIns="91425" anchor="t" anchorCtr="0">
          <a:spAutoFit/>
        </a:bodyPr>
        <a:lstStyle/>
        <a:p>
          <a:pPr marL="0" lvl="0" indent="0" algn="l" rtl="0">
            <a:lnSpc>
              <a:spcPct val="115000"/>
            </a:lnSpc>
            <a:spcBef>
              <a:spcPts val="1800"/>
            </a:spcBef>
            <a:spcAft>
              <a:spcPts val="0"/>
            </a:spcAft>
            <a:buNone/>
          </a:pPr>
          <a:r>
            <a:rPr lang="en-US" sz="1700" b="1">
              <a:highlight>
                <a:srgbClr val="FF00FF"/>
              </a:highlight>
            </a:rPr>
            <a:t>FOR SUPPLIERS &amp; VENDORS :-</a:t>
          </a:r>
          <a:endParaRPr sz="1700" b="1">
            <a:highlight>
              <a:srgbClr val="FF00FF"/>
            </a:highlight>
          </a:endParaRPr>
        </a:p>
        <a:p>
          <a:pPr marL="0" lvl="0" indent="0" algn="l" rtl="0">
            <a:lnSpc>
              <a:spcPct val="115000"/>
            </a:lnSpc>
            <a:spcBef>
              <a:spcPts val="1800"/>
            </a:spcBef>
            <a:spcAft>
              <a:spcPts val="0"/>
            </a:spcAft>
            <a:buNone/>
          </a:pPr>
          <a:r>
            <a:rPr lang="en-US" sz="1300" b="1"/>
            <a:t>My Advice: Safe to Do Business, But Watch Payment Times</a:t>
          </a:r>
          <a:endParaRPr sz="1300" b="1"/>
        </a:p>
        <a:p>
          <a:pPr marL="0" lvl="0" indent="0" algn="l" rtl="0">
            <a:lnSpc>
              <a:spcPct val="115000"/>
            </a:lnSpc>
            <a:spcBef>
              <a:spcPts val="1200"/>
            </a:spcBef>
            <a:spcAft>
              <a:spcPts val="0"/>
            </a:spcAft>
            <a:buNone/>
          </a:pPr>
          <a:r>
            <a:rPr lang="en-US" sz="1100" b="1"/>
            <a:t>Why It's Safe:</a:t>
          </a:r>
          <a:endParaRPr sz="1100" b="1"/>
        </a:p>
        <a:p>
          <a:pPr marL="457200" lvl="0" indent="-298450" algn="l" rtl="0">
            <a:lnSpc>
              <a:spcPct val="115000"/>
            </a:lnSpc>
            <a:spcBef>
              <a:spcPts val="1200"/>
            </a:spcBef>
            <a:spcAft>
              <a:spcPts val="0"/>
            </a:spcAft>
            <a:buSzPts val="1100"/>
            <a:buChar char="●"/>
          </a:pPr>
          <a:r>
            <a:rPr lang="en-US" sz="1100"/>
            <a:t>Company has excellent ability to pay bills (23.6 times more cash than needed)</a:t>
          </a:r>
          <a:endParaRPr sz="1100"/>
        </a:p>
        <a:p>
          <a:pPr marL="457200" lvl="0" indent="-298450" algn="l" rtl="0">
            <a:lnSpc>
              <a:spcPct val="115000"/>
            </a:lnSpc>
            <a:spcBef>
              <a:spcPts val="0"/>
            </a:spcBef>
            <a:spcAft>
              <a:spcPts val="0"/>
            </a:spcAft>
            <a:buSzPts val="1100"/>
            <a:buChar char="●"/>
          </a:pPr>
          <a:r>
            <a:rPr lang="en-US" sz="1100"/>
            <a:t>Zero risk of company shutting down</a:t>
          </a:r>
          <a:endParaRPr sz="1100"/>
        </a:p>
        <a:p>
          <a:pPr marL="457200" lvl="0" indent="-298450" algn="l" rtl="0">
            <a:lnSpc>
              <a:spcPct val="115000"/>
            </a:lnSpc>
            <a:spcBef>
              <a:spcPts val="0"/>
            </a:spcBef>
            <a:spcAft>
              <a:spcPts val="0"/>
            </a:spcAft>
            <a:buSzPts val="1100"/>
            <a:buChar char="●"/>
          </a:pPr>
          <a:r>
            <a:rPr lang="en-US" sz="1100"/>
            <a:t>Always has money coming in from operations</a:t>
          </a:r>
          <a:endParaRPr sz="1100"/>
        </a:p>
        <a:p>
          <a:pPr marL="0" lvl="0" indent="0" algn="l" rtl="0">
            <a:lnSpc>
              <a:spcPct val="115000"/>
            </a:lnSpc>
            <a:spcBef>
              <a:spcPts val="1200"/>
            </a:spcBef>
            <a:spcAft>
              <a:spcPts val="0"/>
            </a:spcAft>
            <a:buNone/>
          </a:pPr>
          <a:r>
            <a:rPr lang="en-US" sz="1100" b="1"/>
            <a:t>Things to Watch:</a:t>
          </a:r>
          <a:endParaRPr sz="1100" b="1"/>
        </a:p>
        <a:p>
          <a:pPr marL="457200" lvl="0" indent="-298450" algn="l" rtl="0">
            <a:lnSpc>
              <a:spcPct val="115000"/>
            </a:lnSpc>
            <a:spcBef>
              <a:spcPts val="1200"/>
            </a:spcBef>
            <a:spcAft>
              <a:spcPts val="0"/>
            </a:spcAft>
            <a:buSzPts val="1100"/>
            <a:buChar char="●"/>
          </a:pPr>
          <a:r>
            <a:rPr lang="en-US" sz="1100"/>
            <a:t>Company takes about </a:t>
          </a:r>
          <a:r>
            <a:rPr lang="en-US" sz="1100" b="1"/>
            <a:t>85 days to pay</a:t>
          </a:r>
          <a:r>
            <a:rPr lang="en-US" sz="1100"/>
            <a:t> suppliers (almost 3 months!)</a:t>
          </a:r>
          <a:endParaRPr sz="1100"/>
        </a:p>
        <a:p>
          <a:pPr marL="457200" lvl="0" indent="-298450" algn="l" rtl="0">
            <a:lnSpc>
              <a:spcPct val="115000"/>
            </a:lnSpc>
            <a:spcBef>
              <a:spcPts val="0"/>
            </a:spcBef>
            <a:spcAft>
              <a:spcPts val="0"/>
            </a:spcAft>
            <a:buSzPts val="1100"/>
            <a:buChar char="●"/>
          </a:pPr>
          <a:r>
            <a:rPr lang="en-US" sz="1100"/>
            <a:t>Amount owed to suppliers increased by ₹850 crores</a:t>
          </a:r>
          <a:endParaRPr sz="1100"/>
        </a:p>
        <a:p>
          <a:pPr marL="457200" lvl="0" indent="-298450" algn="l" rtl="0">
            <a:lnSpc>
              <a:spcPct val="115000"/>
            </a:lnSpc>
            <a:spcBef>
              <a:spcPts val="0"/>
            </a:spcBef>
            <a:spcAft>
              <a:spcPts val="0"/>
            </a:spcAft>
            <a:buSzPts val="1100"/>
            <a:buChar char="●"/>
          </a:pPr>
          <a:r>
            <a:rPr lang="en-US" sz="1100"/>
            <a:t>Company is using supplier money to run business (delaying payments)</a:t>
          </a:r>
          <a:endParaRPr sz="1100"/>
        </a:p>
        <a:p>
          <a:pPr marL="0" lvl="0" indent="0" algn="l" rtl="0">
            <a:lnSpc>
              <a:spcPct val="115000"/>
            </a:lnSpc>
            <a:spcBef>
              <a:spcPts val="1200"/>
            </a:spcBef>
            <a:spcAft>
              <a:spcPts val="0"/>
            </a:spcAft>
            <a:buNone/>
          </a:pPr>
          <a:r>
            <a:rPr lang="en-US" sz="1100" b="1"/>
            <a:t>What Should You Do:</a:t>
          </a:r>
          <a:endParaRPr sz="1100" b="1"/>
        </a:p>
        <a:p>
          <a:pPr marL="457200" lvl="0" indent="-298450" algn="l" rtl="0">
            <a:lnSpc>
              <a:spcPct val="115000"/>
            </a:lnSpc>
            <a:spcBef>
              <a:spcPts val="1200"/>
            </a:spcBef>
            <a:spcAft>
              <a:spcPts val="0"/>
            </a:spcAft>
            <a:buSzPts val="1100"/>
            <a:buChar char="●"/>
          </a:pPr>
          <a:r>
            <a:rPr lang="en-US" sz="1100"/>
            <a:t>Safe to supply goods - they will pay eventually</a:t>
          </a:r>
          <a:endParaRPr sz="1100"/>
        </a:p>
        <a:p>
          <a:pPr marL="457200" lvl="0" indent="-298450" algn="l" rtl="0">
            <a:lnSpc>
              <a:spcPct val="115000"/>
            </a:lnSpc>
            <a:spcBef>
              <a:spcPts val="0"/>
            </a:spcBef>
            <a:spcAft>
              <a:spcPts val="0"/>
            </a:spcAft>
            <a:buSzPts val="1100"/>
            <a:buChar char="●"/>
          </a:pPr>
          <a:r>
            <a:rPr lang="en-US" sz="1100"/>
            <a:t>Negotiate clear payment terms upfront</a:t>
          </a:r>
          <a:endParaRPr sz="1100"/>
        </a:p>
        <a:p>
          <a:pPr marL="457200" lvl="0" indent="-298450" algn="l" rtl="0">
            <a:lnSpc>
              <a:spcPct val="115000"/>
            </a:lnSpc>
            <a:spcBef>
              <a:spcPts val="0"/>
            </a:spcBef>
            <a:spcAft>
              <a:spcPts val="0"/>
            </a:spcAft>
            <a:buSzPts val="1100"/>
            <a:buChar char="●"/>
          </a:pPr>
          <a:r>
            <a:rPr lang="en-US" sz="1100"/>
            <a:t>Offer small discounts for early payment</a:t>
          </a:r>
          <a:endParaRPr sz="1100"/>
        </a:p>
        <a:p>
          <a:pPr marL="457200" lvl="0" indent="-298450" algn="l" rtl="0">
            <a:lnSpc>
              <a:spcPct val="115000"/>
            </a:lnSpc>
            <a:spcBef>
              <a:spcPts val="0"/>
            </a:spcBef>
            <a:spcAft>
              <a:spcPts val="0"/>
            </a:spcAft>
            <a:buSzPts val="1100"/>
            <a:buChar char="●"/>
          </a:pPr>
          <a:r>
            <a:rPr lang="en-US" sz="1100"/>
            <a:t>Keep supplying but don't give unlimited credit</a:t>
          </a:r>
          <a:endParaRPr sz="1500" b="1">
            <a:highlight>
              <a:srgbClr val="FF00FF"/>
            </a:highlight>
          </a:endParaRPr>
        </a:p>
      </xdr:txBody>
    </xdr:sp>
    <xdr:clientData fLocksWithSheet="0"/>
  </xdr:oneCellAnchor>
  <xdr:oneCellAnchor>
    <xdr:from>
      <xdr:col>6</xdr:col>
      <xdr:colOff>381000</xdr:colOff>
      <xdr:row>25</xdr:row>
      <xdr:rowOff>38100</xdr:rowOff>
    </xdr:from>
    <xdr:ext cx="6762750" cy="4733925"/>
    <xdr:sp macro="" textlink="">
      <xdr:nvSpPr>
        <xdr:cNvPr id="9" name="Shape 9">
          <a:extLst>
            <a:ext uri="{FF2B5EF4-FFF2-40B4-BE49-F238E27FC236}">
              <a16:creationId xmlns:a16="http://schemas.microsoft.com/office/drawing/2014/main" id="{00000000-0008-0000-0B00-000009000000}"/>
            </a:ext>
          </a:extLst>
        </xdr:cNvPr>
        <xdr:cNvSpPr txBox="1"/>
      </xdr:nvSpPr>
      <xdr:spPr>
        <a:xfrm>
          <a:off x="123850" y="123850"/>
          <a:ext cx="6740400" cy="4714200"/>
        </a:xfrm>
        <a:prstGeom prst="rect">
          <a:avLst/>
        </a:prstGeom>
        <a:noFill/>
        <a:ln w="9525" cap="flat" cmpd="sng">
          <a:solidFill>
            <a:srgbClr val="00FFFF"/>
          </a:solidFill>
          <a:prstDash val="solid"/>
          <a:round/>
          <a:headEnd type="none" w="sm" len="sm"/>
          <a:tailEnd type="none" w="sm" len="sm"/>
        </a:ln>
      </xdr:spPr>
      <xdr:txBody>
        <a:bodyPr spcFirstLastPara="1" wrap="square" lIns="91425" tIns="91425" rIns="91425" bIns="91425" anchor="t" anchorCtr="0">
          <a:spAutoFit/>
        </a:bodyPr>
        <a:lstStyle/>
        <a:p>
          <a:pPr marL="0" lvl="0" indent="0" algn="l" rtl="0">
            <a:lnSpc>
              <a:spcPct val="115000"/>
            </a:lnSpc>
            <a:spcBef>
              <a:spcPts val="1800"/>
            </a:spcBef>
            <a:spcAft>
              <a:spcPts val="0"/>
            </a:spcAft>
            <a:buNone/>
          </a:pPr>
          <a:r>
            <a:rPr lang="en-US" sz="1700" b="1">
              <a:highlight>
                <a:srgbClr val="00FFFF"/>
              </a:highlight>
            </a:rPr>
            <a:t>FOR BANKS :-</a:t>
          </a:r>
          <a:endParaRPr sz="1700" b="1">
            <a:highlight>
              <a:srgbClr val="00FFFF"/>
            </a:highlight>
          </a:endParaRPr>
        </a:p>
        <a:p>
          <a:pPr marL="0" lvl="0" indent="0" algn="l" rtl="0">
            <a:lnSpc>
              <a:spcPct val="115000"/>
            </a:lnSpc>
            <a:spcBef>
              <a:spcPts val="1400"/>
            </a:spcBef>
            <a:spcAft>
              <a:spcPts val="0"/>
            </a:spcAft>
            <a:buNone/>
          </a:pPr>
          <a:r>
            <a:rPr lang="en-US" sz="1300" b="1"/>
            <a:t>My Advice: Excellent Customer - Give Them Loans</a:t>
          </a:r>
          <a:endParaRPr sz="1300" b="1"/>
        </a:p>
        <a:p>
          <a:pPr marL="0" lvl="0" indent="0" algn="l" rtl="0">
            <a:lnSpc>
              <a:spcPct val="115000"/>
            </a:lnSpc>
            <a:spcBef>
              <a:spcPts val="1200"/>
            </a:spcBef>
            <a:spcAft>
              <a:spcPts val="0"/>
            </a:spcAft>
            <a:buNone/>
          </a:pPr>
          <a:r>
            <a:rPr lang="en-US" sz="1100" b="1"/>
            <a:t>Why They're Great Borrowers:</a:t>
          </a:r>
          <a:endParaRPr sz="1100" b="1"/>
        </a:p>
        <a:p>
          <a:pPr marL="457200" lvl="0" indent="-298450" algn="l" rtl="0">
            <a:lnSpc>
              <a:spcPct val="115000"/>
            </a:lnSpc>
            <a:spcBef>
              <a:spcPts val="1200"/>
            </a:spcBef>
            <a:spcAft>
              <a:spcPts val="0"/>
            </a:spcAft>
            <a:buSzPts val="1100"/>
            <a:buChar char="●"/>
          </a:pPr>
          <a:r>
            <a:rPr lang="en-US" sz="1100"/>
            <a:t>Almost no existing loans (debt is nearly zero)</a:t>
          </a:r>
          <a:endParaRPr sz="1100"/>
        </a:p>
        <a:p>
          <a:pPr marL="457200" lvl="0" indent="-298450" algn="l" rtl="0">
            <a:lnSpc>
              <a:spcPct val="115000"/>
            </a:lnSpc>
            <a:spcBef>
              <a:spcPts val="0"/>
            </a:spcBef>
            <a:spcAft>
              <a:spcPts val="0"/>
            </a:spcAft>
            <a:buSzPts val="1100"/>
            <a:buChar char="●"/>
          </a:pPr>
          <a:r>
            <a:rPr lang="en-US" sz="1100"/>
            <a:t>Can easily pay interest - earning ₹15,466 crores, paying only ₹364 crores interest (42 times more earnings!)</a:t>
          </a:r>
          <a:endParaRPr sz="1100"/>
        </a:p>
        <a:p>
          <a:pPr marL="457200" lvl="0" indent="-298450" algn="l" rtl="0">
            <a:lnSpc>
              <a:spcPct val="115000"/>
            </a:lnSpc>
            <a:spcBef>
              <a:spcPts val="0"/>
            </a:spcBef>
            <a:spcAft>
              <a:spcPts val="0"/>
            </a:spcAft>
            <a:buSzPts val="1100"/>
            <a:buChar char="●"/>
          </a:pPr>
          <a:r>
            <a:rPr lang="en-US" sz="1100"/>
            <a:t>Total assets worth ₹78,313 crores</a:t>
          </a:r>
          <a:endParaRPr sz="1100"/>
        </a:p>
        <a:p>
          <a:pPr marL="457200" lvl="0" indent="-298450" algn="l" rtl="0">
            <a:lnSpc>
              <a:spcPct val="115000"/>
            </a:lnSpc>
            <a:spcBef>
              <a:spcPts val="0"/>
            </a:spcBef>
            <a:spcAft>
              <a:spcPts val="0"/>
            </a:spcAft>
            <a:buSzPts val="1100"/>
            <a:buChar char="●"/>
          </a:pPr>
          <a:r>
            <a:rPr lang="en-US" sz="1100"/>
            <a:t>Financial safety score is excellent</a:t>
          </a:r>
          <a:endParaRPr sz="1100"/>
        </a:p>
        <a:p>
          <a:pPr marL="0" lvl="0" indent="0" algn="l" rtl="0">
            <a:lnSpc>
              <a:spcPct val="115000"/>
            </a:lnSpc>
            <a:spcBef>
              <a:spcPts val="1200"/>
            </a:spcBef>
            <a:spcAft>
              <a:spcPts val="0"/>
            </a:spcAft>
            <a:buNone/>
          </a:pPr>
          <a:r>
            <a:rPr lang="en-US" sz="1100" b="1"/>
            <a:t>Loan Opportunities:</a:t>
          </a:r>
          <a:endParaRPr sz="1100" b="1"/>
        </a:p>
        <a:p>
          <a:pPr marL="457200" lvl="0" indent="-298450" algn="l" rtl="0">
            <a:lnSpc>
              <a:spcPct val="115000"/>
            </a:lnSpc>
            <a:spcBef>
              <a:spcPts val="1200"/>
            </a:spcBef>
            <a:spcAft>
              <a:spcPts val="0"/>
            </a:spcAft>
            <a:buSzPts val="1100"/>
            <a:buChar char="●"/>
          </a:pPr>
          <a:r>
            <a:rPr lang="en-US" sz="1100"/>
            <a:t>Company wants to grow - taking slightly more loans now</a:t>
          </a:r>
          <a:endParaRPr sz="1100"/>
        </a:p>
        <a:p>
          <a:pPr marL="457200" lvl="0" indent="-298450" algn="l" rtl="0">
            <a:lnSpc>
              <a:spcPct val="115000"/>
            </a:lnSpc>
            <a:spcBef>
              <a:spcPts val="0"/>
            </a:spcBef>
            <a:spcAft>
              <a:spcPts val="0"/>
            </a:spcAft>
            <a:buSzPts val="1100"/>
            <a:buChar char="●"/>
          </a:pPr>
          <a:r>
            <a:rPr lang="en-US" sz="1100"/>
            <a:t>Can offer working capital loans of ₹3,000-5,000 crores</a:t>
          </a:r>
          <a:endParaRPr sz="1100"/>
        </a:p>
        <a:p>
          <a:pPr marL="457200" lvl="0" indent="-298450" algn="l" rtl="0">
            <a:lnSpc>
              <a:spcPct val="115000"/>
            </a:lnSpc>
            <a:spcBef>
              <a:spcPts val="0"/>
            </a:spcBef>
            <a:spcAft>
              <a:spcPts val="0"/>
            </a:spcAft>
            <a:buSzPts val="1100"/>
            <a:buChar char="●"/>
          </a:pPr>
          <a:r>
            <a:rPr lang="en-US" sz="1100"/>
            <a:t>Can finance new projects and expansions</a:t>
          </a:r>
          <a:endParaRPr sz="1100"/>
        </a:p>
        <a:p>
          <a:pPr marL="457200" lvl="0" indent="-298450" algn="l" rtl="0">
            <a:lnSpc>
              <a:spcPct val="115000"/>
            </a:lnSpc>
            <a:spcBef>
              <a:spcPts val="0"/>
            </a:spcBef>
            <a:spcAft>
              <a:spcPts val="0"/>
            </a:spcAft>
            <a:buSzPts val="1100"/>
            <a:buChar char="●"/>
          </a:pPr>
          <a:r>
            <a:rPr lang="en-US" sz="1100"/>
            <a:t>Very low risk customer</a:t>
          </a:r>
          <a:endParaRPr sz="1100"/>
        </a:p>
        <a:p>
          <a:pPr marL="0" lvl="0" indent="0" algn="l" rtl="0">
            <a:lnSpc>
              <a:spcPct val="115000"/>
            </a:lnSpc>
            <a:spcBef>
              <a:spcPts val="1200"/>
            </a:spcBef>
            <a:spcAft>
              <a:spcPts val="0"/>
            </a:spcAft>
            <a:buNone/>
          </a:pPr>
          <a:r>
            <a:rPr lang="en-US" sz="1100" b="1"/>
            <a:t>Loan Terms:</a:t>
          </a:r>
          <a:endParaRPr sz="1100" b="1"/>
        </a:p>
        <a:p>
          <a:pPr marL="457200" lvl="0" indent="-298450" algn="l" rtl="0">
            <a:lnSpc>
              <a:spcPct val="115000"/>
            </a:lnSpc>
            <a:spcBef>
              <a:spcPts val="1200"/>
            </a:spcBef>
            <a:spcAft>
              <a:spcPts val="0"/>
            </a:spcAft>
            <a:buSzPts val="1100"/>
            <a:buChar char="●"/>
          </a:pPr>
          <a:r>
            <a:rPr lang="en-US" sz="1100"/>
            <a:t>Give competitive (low) interest rates</a:t>
          </a:r>
          <a:endParaRPr sz="1100"/>
        </a:p>
        <a:p>
          <a:pPr marL="457200" lvl="0" indent="-298450" algn="l" rtl="0">
            <a:lnSpc>
              <a:spcPct val="115000"/>
            </a:lnSpc>
            <a:spcBef>
              <a:spcPts val="0"/>
            </a:spcBef>
            <a:spcAft>
              <a:spcPts val="0"/>
            </a:spcAft>
            <a:buSzPts val="1100"/>
            <a:buChar char="●"/>
          </a:pPr>
          <a:r>
            <a:rPr lang="en-US" sz="1100"/>
            <a:t>Standard safety conditions</a:t>
          </a:r>
          <a:endParaRPr sz="1100"/>
        </a:p>
        <a:p>
          <a:pPr marL="457200" lvl="0" indent="-298450" algn="l" rtl="0">
            <a:lnSpc>
              <a:spcPct val="115000"/>
            </a:lnSpc>
            <a:spcBef>
              <a:spcPts val="0"/>
            </a:spcBef>
            <a:spcAft>
              <a:spcPts val="0"/>
            </a:spcAft>
            <a:buSzPts val="1100"/>
            <a:buChar char="●"/>
          </a:pPr>
          <a:r>
            <a:rPr lang="en-US" sz="1100"/>
            <a:t>They should maintain ability to pay interest at least 2 times</a:t>
          </a:r>
          <a:endParaRPr sz="1600" b="1">
            <a:highlight>
              <a:srgbClr val="FFFF00"/>
            </a:highlight>
          </a:endParaRPr>
        </a:p>
      </xdr:txBody>
    </xdr:sp>
    <xdr:clientData fLocksWithSheet="0"/>
  </xdr:oneCellAnchor>
  <xdr:oneCellAnchor>
    <xdr:from>
      <xdr:col>0</xdr:col>
      <xdr:colOff>0</xdr:colOff>
      <xdr:row>29</xdr:row>
      <xdr:rowOff>171450</xdr:rowOff>
    </xdr:from>
    <xdr:ext cx="7620000" cy="5534025"/>
    <xdr:sp macro="" textlink="">
      <xdr:nvSpPr>
        <xdr:cNvPr id="10" name="Shape 10">
          <a:extLst>
            <a:ext uri="{FF2B5EF4-FFF2-40B4-BE49-F238E27FC236}">
              <a16:creationId xmlns:a16="http://schemas.microsoft.com/office/drawing/2014/main" id="{00000000-0008-0000-0B00-00000A000000}"/>
            </a:ext>
          </a:extLst>
        </xdr:cNvPr>
        <xdr:cNvSpPr txBox="1"/>
      </xdr:nvSpPr>
      <xdr:spPr>
        <a:xfrm>
          <a:off x="0" y="123850"/>
          <a:ext cx="7620000" cy="5513400"/>
        </a:xfrm>
        <a:prstGeom prst="rect">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t" anchorCtr="0">
          <a:spAutoFit/>
        </a:bodyPr>
        <a:lstStyle/>
        <a:p>
          <a:pPr marL="0" lvl="0" indent="0" algn="l" rtl="0">
            <a:lnSpc>
              <a:spcPct val="115000"/>
            </a:lnSpc>
            <a:spcBef>
              <a:spcPts val="1800"/>
            </a:spcBef>
            <a:spcAft>
              <a:spcPts val="0"/>
            </a:spcAft>
            <a:buNone/>
          </a:pPr>
          <a:r>
            <a:rPr lang="en-US" sz="1600" b="1">
              <a:highlight>
                <a:srgbClr val="FF0000"/>
              </a:highlight>
            </a:rPr>
            <a:t>FOR COMPANY MANAGEMENT :-</a:t>
          </a:r>
          <a:endParaRPr sz="1600" b="1">
            <a:highlight>
              <a:srgbClr val="FF0000"/>
            </a:highlight>
          </a:endParaRPr>
        </a:p>
        <a:p>
          <a:pPr marL="0" lvl="0" indent="0" algn="l" rtl="0">
            <a:lnSpc>
              <a:spcPct val="115000"/>
            </a:lnSpc>
            <a:spcBef>
              <a:spcPts val="1400"/>
            </a:spcBef>
            <a:spcAft>
              <a:spcPts val="0"/>
            </a:spcAft>
            <a:buNone/>
          </a:pPr>
          <a:r>
            <a:rPr lang="en-US" sz="1200" b="1"/>
            <a:t>Critical Problems to Fix:</a:t>
          </a:r>
          <a:endParaRPr sz="1200" b="1"/>
        </a:p>
        <a:p>
          <a:pPr marL="0" lvl="0" indent="0" algn="l" rtl="0">
            <a:lnSpc>
              <a:spcPct val="115000"/>
            </a:lnSpc>
            <a:spcBef>
              <a:spcPts val="1400"/>
            </a:spcBef>
            <a:spcAft>
              <a:spcPts val="0"/>
            </a:spcAft>
            <a:buNone/>
          </a:pPr>
          <a:r>
            <a:rPr lang="en-US" sz="1200" b="1"/>
            <a:t>1. Cash Flow Problem (URGENT)</a:t>
          </a:r>
          <a:endParaRPr sz="1200" b="1"/>
        </a:p>
        <a:p>
          <a:pPr marL="457200" lvl="0" indent="-292100" algn="l" rtl="0">
            <a:lnSpc>
              <a:spcPct val="115000"/>
            </a:lnSpc>
            <a:spcBef>
              <a:spcPts val="1200"/>
            </a:spcBef>
            <a:spcAft>
              <a:spcPts val="0"/>
            </a:spcAft>
            <a:buSzPts val="1000"/>
            <a:buChar char="●"/>
          </a:pPr>
          <a:r>
            <a:rPr lang="en-US" sz="1000" b="1"/>
            <a:t>Problem</a:t>
          </a:r>
          <a:r>
            <a:rPr lang="en-US" sz="1000"/>
            <a:t>: Short-term bills increased by 26%, but money in hand grew only 3%</a:t>
          </a:r>
          <a:endParaRPr sz="1000"/>
        </a:p>
        <a:p>
          <a:pPr marL="457200" lvl="0" indent="-292100" algn="l" rtl="0">
            <a:lnSpc>
              <a:spcPct val="115000"/>
            </a:lnSpc>
            <a:spcBef>
              <a:spcPts val="0"/>
            </a:spcBef>
            <a:spcAft>
              <a:spcPts val="0"/>
            </a:spcAft>
            <a:buSzPts val="1000"/>
            <a:buChar char="●"/>
          </a:pPr>
          <a:r>
            <a:rPr lang="en-US" sz="1000" b="1"/>
            <a:t>Simple terms</a:t>
          </a:r>
          <a:r>
            <a:rPr lang="en-US" sz="1000"/>
            <a:t>: Bills are piling up faster than money is coming in</a:t>
          </a:r>
          <a:endParaRPr sz="1000"/>
        </a:p>
        <a:p>
          <a:pPr marL="457200" lvl="0" indent="-292100" algn="l" rtl="0">
            <a:lnSpc>
              <a:spcPct val="115000"/>
            </a:lnSpc>
            <a:spcBef>
              <a:spcPts val="0"/>
            </a:spcBef>
            <a:spcAft>
              <a:spcPts val="0"/>
            </a:spcAft>
            <a:buSzPts val="1000"/>
            <a:buChar char="●"/>
          </a:pPr>
          <a:r>
            <a:rPr lang="en-US" sz="1000" b="1"/>
            <a:t>Fix</a:t>
          </a:r>
          <a:r>
            <a:rPr lang="en-US" sz="1000"/>
            <a:t>: Collect money from customers faster, reduce excess stock</a:t>
          </a:r>
          <a:endParaRPr sz="1000"/>
        </a:p>
        <a:p>
          <a:pPr marL="0" lvl="0" indent="0" algn="l" rtl="0">
            <a:lnSpc>
              <a:spcPct val="115000"/>
            </a:lnSpc>
            <a:spcBef>
              <a:spcPts val="1400"/>
            </a:spcBef>
            <a:spcAft>
              <a:spcPts val="0"/>
            </a:spcAft>
            <a:buNone/>
          </a:pPr>
          <a:r>
            <a:rPr lang="en-US" sz="1200" b="1"/>
            <a:t>2. Customers Paying Late</a:t>
          </a:r>
          <a:endParaRPr sz="1200" b="1"/>
        </a:p>
        <a:p>
          <a:pPr marL="457200" lvl="0" indent="-292100" algn="l" rtl="0">
            <a:lnSpc>
              <a:spcPct val="115000"/>
            </a:lnSpc>
            <a:spcBef>
              <a:spcPts val="1200"/>
            </a:spcBef>
            <a:spcAft>
              <a:spcPts val="0"/>
            </a:spcAft>
            <a:buSzPts val="1000"/>
            <a:buChar char="●"/>
          </a:pPr>
          <a:r>
            <a:rPr lang="en-US" sz="1000" b="1"/>
            <a:t>Problem</a:t>
          </a:r>
          <a:r>
            <a:rPr lang="en-US" sz="1000"/>
            <a:t>: Customers are taking longer to pay (from 18 days to 22 days)</a:t>
          </a:r>
          <a:endParaRPr sz="1000"/>
        </a:p>
        <a:p>
          <a:pPr marL="457200" lvl="0" indent="-292100" algn="l" rtl="0">
            <a:lnSpc>
              <a:spcPct val="115000"/>
            </a:lnSpc>
            <a:spcBef>
              <a:spcPts val="0"/>
            </a:spcBef>
            <a:spcAft>
              <a:spcPts val="0"/>
            </a:spcAft>
            <a:buSzPts val="1000"/>
            <a:buChar char="●"/>
          </a:pPr>
          <a:r>
            <a:rPr lang="en-US" sz="1000" b="1"/>
            <a:t>Fix</a:t>
          </a:r>
          <a:r>
            <a:rPr lang="en-US" sz="1000"/>
            <a:t>: Tighten credit rules, remind customers to pay on time, use automated collection</a:t>
          </a:r>
          <a:endParaRPr sz="1000"/>
        </a:p>
        <a:p>
          <a:pPr marL="0" lvl="0" indent="0" algn="l" rtl="0">
            <a:lnSpc>
              <a:spcPct val="115000"/>
            </a:lnSpc>
            <a:spcBef>
              <a:spcPts val="1400"/>
            </a:spcBef>
            <a:spcAft>
              <a:spcPts val="0"/>
            </a:spcAft>
            <a:buNone/>
          </a:pPr>
          <a:r>
            <a:rPr lang="en-US" sz="1200" b="1"/>
            <a:t>3. Paying Too Much Dividend?</a:t>
          </a:r>
          <a:endParaRPr sz="1200" b="1"/>
        </a:p>
        <a:p>
          <a:pPr marL="457200" lvl="0" indent="-292100" algn="l" rtl="0">
            <a:lnSpc>
              <a:spcPct val="115000"/>
            </a:lnSpc>
            <a:spcBef>
              <a:spcPts val="1200"/>
            </a:spcBef>
            <a:spcAft>
              <a:spcPts val="0"/>
            </a:spcAft>
            <a:buSzPts val="1000"/>
            <a:buChar char="●"/>
          </a:pPr>
          <a:r>
            <a:rPr lang="en-US" sz="1000" b="1"/>
            <a:t>Problem</a:t>
          </a:r>
          <a:r>
            <a:rPr lang="en-US" sz="1000"/>
            <a:t>: Company savings decreased even though profits were good</a:t>
          </a:r>
          <a:endParaRPr sz="1000"/>
        </a:p>
        <a:p>
          <a:pPr marL="457200" lvl="0" indent="-292100" algn="l" rtl="0">
            <a:lnSpc>
              <a:spcPct val="115000"/>
            </a:lnSpc>
            <a:spcBef>
              <a:spcPts val="0"/>
            </a:spcBef>
            <a:spcAft>
              <a:spcPts val="0"/>
            </a:spcAft>
            <a:buSzPts val="1000"/>
            <a:buChar char="●"/>
          </a:pPr>
          <a:r>
            <a:rPr lang="en-US" sz="1000" b="1"/>
            <a:t>Fix</a:t>
          </a:r>
          <a:r>
            <a:rPr lang="en-US" sz="1000"/>
            <a:t>: Balance giving money to shareholders vs. keeping money for business growth</a:t>
          </a:r>
          <a:endParaRPr sz="1000"/>
        </a:p>
        <a:p>
          <a:pPr marL="0" lvl="0" indent="0" algn="l" rtl="0">
            <a:lnSpc>
              <a:spcPct val="115000"/>
            </a:lnSpc>
            <a:spcBef>
              <a:spcPts val="1400"/>
            </a:spcBef>
            <a:spcAft>
              <a:spcPts val="0"/>
            </a:spcAft>
            <a:buNone/>
          </a:pPr>
          <a:r>
            <a:rPr lang="en-US" sz="1200" b="1"/>
            <a:t>4. Increasing Loan Costs</a:t>
          </a:r>
          <a:endParaRPr sz="1200" b="1"/>
        </a:p>
        <a:p>
          <a:pPr marL="457200" lvl="0" indent="-292100" algn="l" rtl="0">
            <a:lnSpc>
              <a:spcPct val="115000"/>
            </a:lnSpc>
            <a:spcBef>
              <a:spcPts val="1200"/>
            </a:spcBef>
            <a:spcAft>
              <a:spcPts val="0"/>
            </a:spcAft>
            <a:buSzPts val="1000"/>
            <a:buChar char="●"/>
          </a:pPr>
          <a:r>
            <a:rPr lang="en-US" sz="1000" b="1"/>
            <a:t>Problem</a:t>
          </a:r>
          <a:r>
            <a:rPr lang="en-US" sz="1000"/>
            <a:t>: Interest payment increased by 20%</a:t>
          </a:r>
          <a:endParaRPr sz="1000"/>
        </a:p>
        <a:p>
          <a:pPr marL="457200" lvl="0" indent="-292100" algn="l" rtl="0">
            <a:lnSpc>
              <a:spcPct val="115000"/>
            </a:lnSpc>
            <a:spcBef>
              <a:spcPts val="0"/>
            </a:spcBef>
            <a:spcAft>
              <a:spcPts val="0"/>
            </a:spcAft>
            <a:buSzPts val="1000"/>
            <a:buChar char="●"/>
          </a:pPr>
          <a:r>
            <a:rPr lang="en-US" sz="1000" b="1"/>
            <a:t>Fix</a:t>
          </a:r>
          <a:r>
            <a:rPr lang="en-US" sz="1000"/>
            <a:t>: Make sure borrowed money is earning more than interest cost</a:t>
          </a:r>
          <a:endParaRPr sz="1000"/>
        </a:p>
        <a:p>
          <a:pPr marL="0" lvl="0" indent="0" algn="l" rtl="0">
            <a:lnSpc>
              <a:spcPct val="115000"/>
            </a:lnSpc>
            <a:spcBef>
              <a:spcPts val="1400"/>
            </a:spcBef>
            <a:spcAft>
              <a:spcPts val="0"/>
            </a:spcAft>
            <a:buNone/>
          </a:pPr>
          <a:r>
            <a:rPr lang="en-US" sz="1200" b="1"/>
            <a:t>5. Assets Not Working Hard Enough</a:t>
          </a:r>
          <a:endParaRPr sz="1200" b="1"/>
        </a:p>
        <a:p>
          <a:pPr marL="457200" lvl="0" indent="-292100" algn="l" rtl="0">
            <a:lnSpc>
              <a:spcPct val="115000"/>
            </a:lnSpc>
            <a:spcBef>
              <a:spcPts val="1200"/>
            </a:spcBef>
            <a:spcAft>
              <a:spcPts val="0"/>
            </a:spcAft>
            <a:buSzPts val="1000"/>
            <a:buChar char="●"/>
          </a:pPr>
          <a:r>
            <a:rPr lang="en-US" sz="1000" b="1"/>
            <a:t>Problem</a:t>
          </a:r>
          <a:r>
            <a:rPr lang="en-US" sz="1000"/>
            <a:t>: Bought more machines/assets but sales didn't grow equally</a:t>
          </a:r>
          <a:endParaRPr sz="1000"/>
        </a:p>
        <a:p>
          <a:pPr marL="457200" lvl="0" indent="-292100" algn="l" rtl="0">
            <a:lnSpc>
              <a:spcPct val="115000"/>
            </a:lnSpc>
            <a:spcBef>
              <a:spcPts val="0"/>
            </a:spcBef>
            <a:spcAft>
              <a:spcPts val="0"/>
            </a:spcAft>
            <a:buSzPts val="1000"/>
            <a:buChar char="●"/>
          </a:pPr>
          <a:r>
            <a:rPr lang="en-US" sz="1000" b="1"/>
            <a:t>Fix</a:t>
          </a:r>
          <a:r>
            <a:rPr lang="en-US" sz="1000"/>
            <a:t>: Use existing assets better, sell unused assets, improve efficiency</a:t>
          </a:r>
          <a:endParaRPr sz="1300" b="1">
            <a:highlight>
              <a:srgbClr val="FF9900"/>
            </a:highlight>
          </a:endParaRPr>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O7"/>
  <sheetViews>
    <sheetView showGridLines="0" tabSelected="1" workbookViewId="0">
      <selection activeCell="C26" sqref="C26"/>
    </sheetView>
  </sheetViews>
  <sheetFormatPr defaultColWidth="12.6640625" defaultRowHeight="15.75" customHeight="1"/>
  <cols>
    <col min="1" max="1" width="18.6640625" customWidth="1"/>
    <col min="2" max="2" width="17" customWidth="1"/>
    <col min="3" max="3" width="50.6640625" customWidth="1"/>
    <col min="4" max="4" width="25.44140625" customWidth="1"/>
  </cols>
  <sheetData>
    <row r="2" spans="1:15" ht="48.6" customHeight="1">
      <c r="A2" s="235" t="s">
        <v>491</v>
      </c>
      <c r="B2" s="236"/>
      <c r="C2" s="236"/>
      <c r="D2" s="236"/>
      <c r="E2" s="236"/>
      <c r="F2" s="236"/>
      <c r="G2" s="237"/>
      <c r="H2" s="3"/>
      <c r="I2" s="3"/>
      <c r="J2" s="3"/>
      <c r="K2" s="3"/>
      <c r="L2" s="3"/>
      <c r="M2" s="3"/>
      <c r="N2" s="3"/>
      <c r="O2" s="3"/>
    </row>
    <row r="3" spans="1:15" ht="15.75" customHeight="1">
      <c r="C3" s="3"/>
      <c r="D3" s="3"/>
      <c r="E3" s="3"/>
      <c r="F3" s="3"/>
      <c r="G3" s="3"/>
      <c r="H3" s="3"/>
      <c r="I3" s="3"/>
      <c r="J3" s="3"/>
      <c r="K3" s="3"/>
      <c r="L3" s="3"/>
      <c r="M3" s="3"/>
      <c r="N3" s="3"/>
      <c r="O3" s="3"/>
    </row>
    <row r="4" spans="1:15" ht="15.6" hidden="1" customHeight="1">
      <c r="C4" s="3"/>
      <c r="D4" s="3"/>
      <c r="E4" s="3"/>
      <c r="F4" s="3"/>
      <c r="G4" s="3"/>
      <c r="H4" s="3"/>
      <c r="I4" s="3"/>
      <c r="J4" s="3"/>
      <c r="K4" s="3"/>
      <c r="L4" s="3"/>
      <c r="M4" s="3"/>
      <c r="N4" s="3"/>
      <c r="O4" s="3"/>
    </row>
    <row r="5" spans="1:15" ht="28.2" customHeight="1">
      <c r="A5" s="238" t="s">
        <v>1</v>
      </c>
      <c r="B5" s="239"/>
      <c r="C5" s="240"/>
      <c r="D5" s="8"/>
      <c r="E5" s="8"/>
      <c r="F5" s="8"/>
    </row>
    <row r="6" spans="1:15" ht="9.6" customHeight="1"/>
    <row r="7" spans="1:15">
      <c r="A7" s="241" t="s">
        <v>492</v>
      </c>
      <c r="B7" s="242"/>
      <c r="C7" s="243"/>
    </row>
  </sheetData>
  <mergeCells count="3">
    <mergeCell ref="A2:G2"/>
    <mergeCell ref="A5:C5"/>
    <mergeCell ref="A7:C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27"/>
  <sheetViews>
    <sheetView showGridLines="0" workbookViewId="0"/>
  </sheetViews>
  <sheetFormatPr defaultColWidth="12.6640625" defaultRowHeight="15.75" customHeight="1"/>
  <cols>
    <col min="1" max="1" width="14.77734375" customWidth="1"/>
  </cols>
  <sheetData>
    <row r="1" spans="1:8" ht="15.75" customHeight="1">
      <c r="A1" s="1"/>
      <c r="B1" s="1"/>
      <c r="C1" s="1"/>
      <c r="D1" s="1"/>
      <c r="E1" s="1"/>
      <c r="F1" s="1"/>
      <c r="G1" s="1"/>
      <c r="H1" s="1"/>
    </row>
    <row r="2" spans="1:8" ht="15.75" customHeight="1">
      <c r="A2" s="2"/>
      <c r="B2" s="1"/>
      <c r="C2" s="1"/>
      <c r="D2" s="1"/>
      <c r="E2" s="1"/>
      <c r="F2" s="1"/>
      <c r="G2" s="1"/>
      <c r="H2" s="1"/>
    </row>
    <row r="3" spans="1:8" ht="15.75" customHeight="1">
      <c r="A3" s="2"/>
      <c r="B3" s="1"/>
      <c r="C3" s="1"/>
      <c r="D3" s="1"/>
      <c r="E3" s="1"/>
      <c r="F3" s="1"/>
      <c r="G3" s="1"/>
      <c r="H3" s="1"/>
    </row>
    <row r="4" spans="1:8" ht="15.75" customHeight="1">
      <c r="A4" s="2"/>
      <c r="B4" s="1"/>
      <c r="C4" s="1"/>
      <c r="D4" s="1"/>
      <c r="E4" s="1"/>
      <c r="F4" s="1"/>
      <c r="G4" s="1"/>
      <c r="H4" s="1"/>
    </row>
    <row r="5" spans="1:8" ht="15.75" customHeight="1">
      <c r="A5" s="2"/>
      <c r="B5" s="1"/>
      <c r="C5" s="1"/>
      <c r="D5" s="1"/>
      <c r="E5" s="1"/>
      <c r="F5" s="1"/>
      <c r="G5" s="1"/>
      <c r="H5" s="1"/>
    </row>
    <row r="6" spans="1:8" ht="15.75" customHeight="1">
      <c r="A6" s="2"/>
      <c r="B6" s="1"/>
      <c r="C6" s="1"/>
      <c r="D6" s="1"/>
      <c r="E6" s="1"/>
      <c r="F6" s="1"/>
      <c r="G6" s="1"/>
      <c r="H6" s="1"/>
    </row>
    <row r="7" spans="1:8" ht="15.75" customHeight="1">
      <c r="A7" s="2"/>
      <c r="B7" s="1"/>
      <c r="C7" s="1"/>
      <c r="D7" s="1"/>
      <c r="E7" s="1"/>
      <c r="F7" s="1"/>
      <c r="G7" s="1"/>
      <c r="H7" s="1"/>
    </row>
    <row r="8" spans="1:8" ht="15.75" customHeight="1">
      <c r="A8" s="2"/>
      <c r="B8" s="1"/>
      <c r="C8" s="1"/>
      <c r="D8" s="1"/>
      <c r="E8" s="1"/>
      <c r="F8" s="1"/>
      <c r="G8" s="1"/>
      <c r="H8" s="1"/>
    </row>
    <row r="9" spans="1:8" ht="15.75" customHeight="1">
      <c r="A9" s="2"/>
      <c r="B9" s="1"/>
      <c r="C9" s="1"/>
      <c r="D9" s="1"/>
      <c r="E9" s="1"/>
      <c r="F9" s="1"/>
      <c r="G9" s="1"/>
      <c r="H9" s="1"/>
    </row>
    <row r="10" spans="1:8" ht="15.75" customHeight="1">
      <c r="A10" s="2"/>
      <c r="B10" s="1"/>
      <c r="C10" s="1"/>
      <c r="D10" s="1"/>
      <c r="E10" s="1"/>
      <c r="F10" s="1"/>
      <c r="G10" s="1"/>
      <c r="H10" s="1"/>
    </row>
    <row r="11" spans="1:8" ht="15.75" customHeight="1">
      <c r="A11" s="2"/>
      <c r="B11" s="1"/>
      <c r="C11" s="1"/>
      <c r="D11" s="1"/>
      <c r="E11" s="1"/>
      <c r="F11" s="1"/>
      <c r="G11" s="1"/>
      <c r="H11" s="1"/>
    </row>
    <row r="12" spans="1:8" ht="15.75" customHeight="1">
      <c r="A12" s="2"/>
      <c r="B12" s="1"/>
      <c r="C12" s="1"/>
      <c r="D12" s="1"/>
      <c r="E12" s="1"/>
      <c r="F12" s="1"/>
      <c r="G12" s="1"/>
      <c r="H12" s="1"/>
    </row>
    <row r="13" spans="1:8" ht="15.75" customHeight="1">
      <c r="A13" s="2"/>
      <c r="B13" s="1"/>
      <c r="C13" s="1"/>
      <c r="D13" s="1"/>
      <c r="E13" s="1"/>
      <c r="F13" s="1"/>
      <c r="G13" s="1"/>
      <c r="H13" s="1"/>
    </row>
    <row r="14" spans="1:8" ht="15.75" customHeight="1">
      <c r="A14" s="2"/>
      <c r="B14" s="1"/>
      <c r="C14" s="1"/>
      <c r="D14" s="1"/>
      <c r="E14" s="1"/>
      <c r="F14" s="1"/>
      <c r="G14" s="1"/>
      <c r="H14" s="1"/>
    </row>
    <row r="15" spans="1:8" ht="15.75" customHeight="1">
      <c r="A15" s="2"/>
      <c r="B15" s="1"/>
      <c r="C15" s="1"/>
      <c r="D15" s="1"/>
      <c r="E15" s="1"/>
      <c r="F15" s="1"/>
      <c r="G15" s="1"/>
      <c r="H15" s="1"/>
    </row>
    <row r="16" spans="1:8" ht="15.75" customHeight="1">
      <c r="A16" s="2"/>
      <c r="B16" s="1"/>
      <c r="C16" s="1"/>
      <c r="D16" s="1"/>
      <c r="E16" s="1"/>
      <c r="F16" s="1"/>
      <c r="G16" s="1"/>
      <c r="H16" s="1"/>
    </row>
    <row r="17" spans="1:8" ht="15.75" customHeight="1">
      <c r="A17" s="2"/>
      <c r="B17" s="1"/>
      <c r="C17" s="1"/>
      <c r="D17" s="1"/>
      <c r="E17" s="1"/>
      <c r="F17" s="1"/>
      <c r="G17" s="1"/>
      <c r="H17" s="1"/>
    </row>
    <row r="18" spans="1:8" ht="15.75" customHeight="1">
      <c r="A18" s="2"/>
      <c r="B18" s="1"/>
      <c r="C18" s="1"/>
      <c r="D18" s="1"/>
      <c r="E18" s="1"/>
      <c r="F18" s="1"/>
      <c r="G18" s="1"/>
      <c r="H18" s="1"/>
    </row>
    <row r="19" spans="1:8" ht="15.75" customHeight="1">
      <c r="A19" s="1"/>
      <c r="B19" s="1"/>
      <c r="C19" s="1"/>
      <c r="D19" s="1"/>
      <c r="E19" s="1"/>
      <c r="F19" s="1"/>
      <c r="G19" s="1"/>
      <c r="H19" s="1"/>
    </row>
    <row r="20" spans="1:8" ht="15.75" customHeight="1">
      <c r="A20" s="1"/>
      <c r="B20" s="1"/>
      <c r="C20" s="1"/>
      <c r="D20" s="1"/>
      <c r="E20" s="1"/>
      <c r="F20" s="1"/>
      <c r="G20" s="1"/>
      <c r="H20" s="1"/>
    </row>
    <row r="21" spans="1:8" ht="15.75" customHeight="1">
      <c r="A21" s="1"/>
      <c r="B21" s="1"/>
      <c r="C21" s="1"/>
      <c r="D21" s="1"/>
      <c r="E21" s="1"/>
      <c r="F21" s="1"/>
      <c r="G21" s="1"/>
      <c r="H21" s="1"/>
    </row>
    <row r="22" spans="1:8" ht="15.75" customHeight="1">
      <c r="A22" s="1"/>
      <c r="B22" s="1"/>
      <c r="C22" s="1"/>
      <c r="D22" s="1"/>
      <c r="E22" s="1"/>
      <c r="F22" s="1"/>
      <c r="G22" s="1"/>
      <c r="H22" s="1"/>
    </row>
    <row r="23" spans="1:8" ht="15.75" customHeight="1">
      <c r="A23" s="1"/>
      <c r="B23" s="1"/>
      <c r="C23" s="1"/>
      <c r="D23" s="1"/>
      <c r="E23" s="1"/>
      <c r="F23" s="1"/>
      <c r="G23" s="1"/>
      <c r="H23" s="1"/>
    </row>
    <row r="24" spans="1:8" ht="15.75" customHeight="1">
      <c r="A24" s="1"/>
      <c r="B24" s="1"/>
      <c r="C24" s="1"/>
      <c r="D24" s="1"/>
      <c r="E24" s="1"/>
      <c r="F24" s="1"/>
      <c r="G24" s="1"/>
      <c r="H24" s="1"/>
    </row>
    <row r="25" spans="1:8" ht="15.75" customHeight="1">
      <c r="A25" s="1"/>
      <c r="B25" s="1"/>
      <c r="C25" s="1"/>
      <c r="D25" s="1"/>
      <c r="E25" s="1"/>
      <c r="F25" s="1"/>
      <c r="G25" s="1"/>
      <c r="H25" s="1"/>
    </row>
    <row r="26" spans="1:8" ht="15.75" customHeight="1">
      <c r="A26" s="1"/>
      <c r="B26" s="1"/>
      <c r="C26" s="1"/>
      <c r="D26" s="1"/>
      <c r="E26" s="1"/>
      <c r="F26" s="1"/>
      <c r="G26" s="1"/>
      <c r="H26" s="1"/>
    </row>
    <row r="27" spans="1:8" ht="15.75" customHeight="1">
      <c r="A27" s="1"/>
      <c r="B27" s="1"/>
      <c r="C27" s="1"/>
      <c r="D27" s="1"/>
      <c r="E27" s="1"/>
      <c r="F27" s="1"/>
      <c r="G27" s="1"/>
      <c r="H27"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84"/>
  <sheetViews>
    <sheetView showGridLines="0" workbookViewId="0"/>
  </sheetViews>
  <sheetFormatPr defaultColWidth="12.6640625" defaultRowHeight="15.75" customHeight="1"/>
  <cols>
    <col min="1" max="1" width="33.6640625" customWidth="1"/>
    <col min="2" max="2" width="15.88671875" customWidth="1"/>
    <col min="3" max="3" width="20.109375" customWidth="1"/>
    <col min="4" max="4" width="17" customWidth="1"/>
    <col min="5" max="5" width="18.77734375" customWidth="1"/>
    <col min="6" max="6" width="17" customWidth="1"/>
    <col min="7" max="7" width="19" customWidth="1"/>
    <col min="9" max="9" width="19" customWidth="1"/>
    <col min="10" max="10" width="20.109375" customWidth="1"/>
  </cols>
  <sheetData>
    <row r="1" spans="1:10" ht="15.75" customHeight="1">
      <c r="A1" s="4"/>
      <c r="B1" s="6"/>
      <c r="C1" s="244"/>
      <c r="D1" s="245"/>
      <c r="E1" s="245"/>
      <c r="H1" s="9"/>
      <c r="J1" s="6"/>
    </row>
    <row r="2" spans="1:10">
      <c r="A2" s="10"/>
      <c r="G2" s="5" t="s">
        <v>0</v>
      </c>
      <c r="I2" s="5"/>
    </row>
    <row r="3" spans="1:10" ht="15.75" customHeight="1">
      <c r="A3" s="246" t="s">
        <v>3</v>
      </c>
      <c r="B3" s="247"/>
      <c r="C3" s="247"/>
      <c r="D3" s="247"/>
      <c r="E3" s="247"/>
      <c r="F3" s="247"/>
      <c r="G3" s="248"/>
    </row>
    <row r="4" spans="1:10" ht="15.75" customHeight="1">
      <c r="A4" s="12" t="s">
        <v>4</v>
      </c>
      <c r="B4" s="13" t="s">
        <v>5</v>
      </c>
      <c r="C4" s="14" t="s">
        <v>8</v>
      </c>
      <c r="D4" s="14" t="s">
        <v>11</v>
      </c>
      <c r="E4" s="14" t="s">
        <v>12</v>
      </c>
      <c r="F4" s="14" t="s">
        <v>14</v>
      </c>
      <c r="G4" s="14" t="s">
        <v>15</v>
      </c>
      <c r="I4" s="17"/>
      <c r="J4" s="17"/>
    </row>
    <row r="5" spans="1:10">
      <c r="A5" s="21" t="s">
        <v>16</v>
      </c>
      <c r="B5" s="22"/>
      <c r="C5" s="22"/>
      <c r="D5" s="22"/>
      <c r="E5" s="22"/>
      <c r="F5" s="22"/>
      <c r="G5" s="22"/>
    </row>
    <row r="6" spans="1:10">
      <c r="A6" s="26" t="s">
        <v>18</v>
      </c>
      <c r="B6" s="27"/>
      <c r="C6" s="26">
        <v>45996</v>
      </c>
      <c r="D6" s="26">
        <v>51193</v>
      </c>
      <c r="E6" s="26">
        <v>59144</v>
      </c>
      <c r="F6" s="26">
        <v>60469</v>
      </c>
      <c r="G6" s="26">
        <v>61469</v>
      </c>
      <c r="I6" s="29"/>
      <c r="J6" s="29"/>
    </row>
    <row r="7" spans="1:10">
      <c r="A7" s="26" t="s">
        <v>20</v>
      </c>
      <c r="B7" s="27"/>
      <c r="C7" s="26">
        <v>513</v>
      </c>
      <c r="D7" s="26">
        <v>393</v>
      </c>
      <c r="E7" s="26">
        <v>640</v>
      </c>
      <c r="F7" s="26">
        <v>973</v>
      </c>
      <c r="G7" s="26">
        <v>1177</v>
      </c>
      <c r="I7" s="29"/>
      <c r="J7" s="29"/>
    </row>
    <row r="8" spans="1:10">
      <c r="A8" s="30" t="s">
        <v>21</v>
      </c>
      <c r="B8" s="31"/>
      <c r="C8" s="31">
        <f t="shared" ref="C8:E8" si="0">SUM(C6:C7)</f>
        <v>46509</v>
      </c>
      <c r="D8" s="31">
        <f t="shared" si="0"/>
        <v>51586</v>
      </c>
      <c r="E8" s="31">
        <f t="shared" si="0"/>
        <v>59784</v>
      </c>
      <c r="F8" s="31">
        <f>SUM(F6:F7)</f>
        <v>61442</v>
      </c>
      <c r="G8" s="31">
        <f>SUM(G6:G7)</f>
        <v>62646</v>
      </c>
      <c r="I8" s="37"/>
      <c r="J8" s="37"/>
    </row>
    <row r="9" spans="1:10">
      <c r="A9" s="27"/>
      <c r="B9" s="27"/>
      <c r="C9" s="27"/>
      <c r="D9" s="27"/>
      <c r="E9" s="27"/>
      <c r="F9" s="27"/>
      <c r="G9" s="27"/>
    </row>
    <row r="10" spans="1:10">
      <c r="A10" s="30" t="s">
        <v>26</v>
      </c>
      <c r="B10" s="27"/>
      <c r="C10" s="27"/>
      <c r="D10" s="27"/>
      <c r="E10" s="27"/>
      <c r="F10" s="27"/>
      <c r="G10" s="27"/>
    </row>
    <row r="11" spans="1:10">
      <c r="A11" s="26" t="s">
        <v>27</v>
      </c>
      <c r="B11" s="27"/>
      <c r="C11" s="26">
        <v>14951</v>
      </c>
      <c r="D11" s="26">
        <v>15869</v>
      </c>
      <c r="E11" s="26">
        <v>19229</v>
      </c>
      <c r="F11" s="26">
        <v>17791</v>
      </c>
      <c r="G11" s="26">
        <v>17698</v>
      </c>
      <c r="I11" s="29"/>
      <c r="J11" s="29"/>
    </row>
    <row r="12" spans="1:10">
      <c r="A12" s="26" t="s">
        <v>28</v>
      </c>
      <c r="B12" s="27"/>
      <c r="C12" s="26">
        <v>7117</v>
      </c>
      <c r="D12" s="26">
        <v>9274</v>
      </c>
      <c r="E12" s="26">
        <v>11968</v>
      </c>
      <c r="F12" s="26">
        <v>11544</v>
      </c>
      <c r="G12" s="26">
        <v>12584</v>
      </c>
      <c r="I12" s="29"/>
      <c r="J12" s="29"/>
    </row>
    <row r="13" spans="1:10">
      <c r="A13" s="26" t="s">
        <v>30</v>
      </c>
      <c r="B13" s="27"/>
      <c r="C13" s="26">
        <v>-391</v>
      </c>
      <c r="D13" s="26">
        <v>-19</v>
      </c>
      <c r="E13" s="26">
        <v>-53</v>
      </c>
      <c r="F13" s="26">
        <v>-8</v>
      </c>
      <c r="G13" s="26">
        <v>-106</v>
      </c>
      <c r="I13" s="29"/>
      <c r="J13" s="29"/>
    </row>
    <row r="14" spans="1:10">
      <c r="A14" s="26" t="s">
        <v>32</v>
      </c>
      <c r="B14" s="27"/>
      <c r="C14" s="26">
        <v>2229</v>
      </c>
      <c r="D14" s="26">
        <v>2399</v>
      </c>
      <c r="E14" s="26">
        <v>2665</v>
      </c>
      <c r="F14" s="26">
        <v>2782</v>
      </c>
      <c r="G14" s="26">
        <v>2840</v>
      </c>
      <c r="I14" s="29"/>
      <c r="J14" s="29"/>
    </row>
    <row r="15" spans="1:10">
      <c r="A15" s="26" t="s">
        <v>33</v>
      </c>
      <c r="B15" s="27"/>
      <c r="C15" s="26">
        <v>108</v>
      </c>
      <c r="D15" s="26">
        <v>98</v>
      </c>
      <c r="E15" s="26">
        <v>101</v>
      </c>
      <c r="F15" s="26">
        <v>302</v>
      </c>
      <c r="G15" s="26">
        <v>364</v>
      </c>
      <c r="I15" s="29"/>
      <c r="J15" s="29"/>
    </row>
    <row r="16" spans="1:10">
      <c r="A16" s="26" t="s">
        <v>34</v>
      </c>
      <c r="B16" s="27"/>
      <c r="C16" s="26">
        <v>1012</v>
      </c>
      <c r="D16" s="26">
        <v>1025</v>
      </c>
      <c r="E16" s="26">
        <v>1030</v>
      </c>
      <c r="F16" s="26">
        <v>1097</v>
      </c>
      <c r="G16" s="26">
        <v>1224</v>
      </c>
      <c r="I16" s="29"/>
      <c r="J16" s="29"/>
    </row>
    <row r="17" spans="1:10">
      <c r="A17" s="26" t="s">
        <v>35</v>
      </c>
      <c r="B17" s="27"/>
      <c r="C17" s="26">
        <v>10766</v>
      </c>
      <c r="D17" s="26">
        <v>11167</v>
      </c>
      <c r="E17" s="26">
        <v>11703</v>
      </c>
      <c r="F17" s="26">
        <v>14170</v>
      </c>
      <c r="G17" s="26">
        <v>14164</v>
      </c>
      <c r="I17" s="29"/>
      <c r="J17" s="29"/>
    </row>
    <row r="18" spans="1:10">
      <c r="A18" s="38" t="s">
        <v>37</v>
      </c>
      <c r="B18" s="39"/>
      <c r="C18" s="39">
        <f t="shared" ref="C18:G18" si="1">SUM(C11:C17)</f>
        <v>35792</v>
      </c>
      <c r="D18" s="39">
        <f t="shared" si="1"/>
        <v>39813</v>
      </c>
      <c r="E18" s="39">
        <f t="shared" si="1"/>
        <v>46643</v>
      </c>
      <c r="F18" s="39">
        <f t="shared" si="1"/>
        <v>47678</v>
      </c>
      <c r="G18" s="39">
        <f t="shared" si="1"/>
        <v>48768</v>
      </c>
      <c r="I18" s="37"/>
      <c r="J18" s="37"/>
    </row>
    <row r="19" spans="1:10">
      <c r="A19" s="40" t="s">
        <v>41</v>
      </c>
      <c r="B19" s="41"/>
      <c r="C19" s="41">
        <f t="shared" ref="C19:G19" si="2">C8-C18</f>
        <v>10717</v>
      </c>
      <c r="D19" s="41">
        <f t="shared" si="2"/>
        <v>11773</v>
      </c>
      <c r="E19" s="41">
        <f t="shared" si="2"/>
        <v>13141</v>
      </c>
      <c r="F19" s="41">
        <f t="shared" si="2"/>
        <v>13764</v>
      </c>
      <c r="G19" s="40">
        <f t="shared" si="2"/>
        <v>13878</v>
      </c>
      <c r="I19" s="37"/>
      <c r="J19" s="5"/>
    </row>
    <row r="20" spans="1:10">
      <c r="A20" s="26" t="s">
        <v>44</v>
      </c>
      <c r="B20" s="27"/>
      <c r="C20" s="26">
        <v>-227</v>
      </c>
      <c r="D20" s="26">
        <v>-34</v>
      </c>
      <c r="E20" s="26">
        <v>-62</v>
      </c>
      <c r="F20" s="26">
        <v>-89</v>
      </c>
      <c r="G20" s="26">
        <v>422</v>
      </c>
      <c r="I20" s="29"/>
      <c r="J20" s="29"/>
    </row>
    <row r="21" spans="1:10">
      <c r="A21" s="30" t="s">
        <v>45</v>
      </c>
      <c r="B21" s="31"/>
      <c r="C21" s="31">
        <f>SUM(C19:C20)</f>
        <v>10490</v>
      </c>
      <c r="D21" s="31">
        <f>SUM(D19:D20)</f>
        <v>11739</v>
      </c>
      <c r="E21" s="31">
        <f t="shared" ref="E21:G21" si="3">SUM(E19:E20)</f>
        <v>13079</v>
      </c>
      <c r="F21" s="31">
        <f t="shared" si="3"/>
        <v>13675</v>
      </c>
      <c r="G21" s="31">
        <f t="shared" si="3"/>
        <v>14300</v>
      </c>
      <c r="I21" s="37"/>
      <c r="J21" s="37"/>
    </row>
    <row r="22" spans="1:10">
      <c r="A22" s="30" t="s">
        <v>48</v>
      </c>
      <c r="B22" s="27"/>
      <c r="C22" s="27"/>
      <c r="D22" s="27"/>
      <c r="E22" s="27"/>
      <c r="F22" s="27"/>
      <c r="G22" s="27"/>
    </row>
    <row r="23" spans="1:10">
      <c r="A23" s="26" t="s">
        <v>50</v>
      </c>
      <c r="B23" s="27"/>
      <c r="C23" s="26">
        <v>-2458</v>
      </c>
      <c r="D23" s="26">
        <v>-2778</v>
      </c>
      <c r="E23" s="26">
        <v>-2922</v>
      </c>
      <c r="F23" s="26">
        <v>-3446</v>
      </c>
      <c r="G23" s="26">
        <v>-3525</v>
      </c>
      <c r="I23" s="29"/>
      <c r="J23" s="29"/>
    </row>
    <row r="24" spans="1:10">
      <c r="A24" s="47" t="s">
        <v>51</v>
      </c>
      <c r="B24" s="48"/>
      <c r="C24" s="47">
        <v>-78</v>
      </c>
      <c r="D24" s="47">
        <v>-143</v>
      </c>
      <c r="E24" s="47">
        <v>-195</v>
      </c>
      <c r="F24" s="47">
        <v>-115</v>
      </c>
      <c r="G24" s="47">
        <v>-131</v>
      </c>
      <c r="I24" s="29"/>
      <c r="J24" s="29"/>
    </row>
    <row r="25" spans="1:10">
      <c r="A25" s="51" t="s">
        <v>52</v>
      </c>
      <c r="B25" s="53"/>
      <c r="C25" s="53">
        <f t="shared" ref="C25:E25" si="4">SUM(C21:C24)</f>
        <v>7954</v>
      </c>
      <c r="D25" s="53">
        <f t="shared" si="4"/>
        <v>8818</v>
      </c>
      <c r="E25" s="53">
        <f t="shared" si="4"/>
        <v>9962</v>
      </c>
      <c r="F25" s="53">
        <f t="shared" ref="F25:G25" si="5">SUM(F21:F24)</f>
        <v>10114</v>
      </c>
      <c r="G25" s="53">
        <f t="shared" si="5"/>
        <v>10644</v>
      </c>
      <c r="I25" s="37"/>
      <c r="J25" s="37"/>
    </row>
    <row r="30" spans="1:10" ht="15.75" customHeight="1">
      <c r="A30" s="246" t="s">
        <v>56</v>
      </c>
      <c r="B30" s="247"/>
      <c r="C30" s="247"/>
      <c r="D30" s="247"/>
      <c r="E30" s="247"/>
      <c r="F30" s="247"/>
      <c r="G30" s="248"/>
    </row>
    <row r="31" spans="1:10" ht="15.75" customHeight="1">
      <c r="A31" s="12" t="s">
        <v>4</v>
      </c>
      <c r="B31" s="12" t="s">
        <v>5</v>
      </c>
      <c r="C31" s="12" t="s">
        <v>8</v>
      </c>
      <c r="D31" s="12" t="s">
        <v>11</v>
      </c>
      <c r="E31" s="12" t="s">
        <v>12</v>
      </c>
      <c r="F31" s="12" t="s">
        <v>14</v>
      </c>
      <c r="G31" s="12" t="s">
        <v>15</v>
      </c>
      <c r="I31" s="17"/>
      <c r="J31" s="17"/>
    </row>
    <row r="32" spans="1:10">
      <c r="A32" s="21" t="s">
        <v>62</v>
      </c>
      <c r="B32" s="22"/>
      <c r="C32" s="22"/>
      <c r="D32" s="22"/>
      <c r="E32" s="22"/>
      <c r="F32" s="22"/>
      <c r="G32" s="22"/>
    </row>
    <row r="33" spans="1:10">
      <c r="A33" s="26" t="s">
        <v>64</v>
      </c>
      <c r="B33" s="27"/>
      <c r="C33" s="27"/>
      <c r="D33" s="27"/>
      <c r="E33" s="27"/>
      <c r="F33" s="27"/>
      <c r="G33" s="27"/>
    </row>
    <row r="34" spans="1:10" ht="13.2">
      <c r="A34" s="26" t="s">
        <v>67</v>
      </c>
      <c r="B34" s="27"/>
      <c r="C34" s="26">
        <v>235</v>
      </c>
      <c r="D34" s="26">
        <v>235</v>
      </c>
      <c r="E34" s="26">
        <v>235</v>
      </c>
      <c r="F34" s="26">
        <v>235</v>
      </c>
      <c r="G34" s="26">
        <v>235</v>
      </c>
      <c r="I34" s="29"/>
      <c r="J34" s="29"/>
    </row>
    <row r="35" spans="1:10" ht="13.2">
      <c r="A35" s="47" t="s">
        <v>71</v>
      </c>
      <c r="B35" s="48"/>
      <c r="C35" s="47">
        <v>47199</v>
      </c>
      <c r="D35" s="47">
        <v>48525</v>
      </c>
      <c r="E35" s="47">
        <v>49986</v>
      </c>
      <c r="F35" s="47">
        <v>50738</v>
      </c>
      <c r="G35" s="47">
        <v>48918</v>
      </c>
      <c r="I35" s="29"/>
      <c r="J35" s="29"/>
    </row>
    <row r="36" spans="1:10" ht="13.2">
      <c r="A36" s="40" t="s">
        <v>75</v>
      </c>
      <c r="B36" s="41"/>
      <c r="C36" s="41">
        <f t="shared" ref="C36:G36" si="6">SUM(C34:C35)</f>
        <v>47434</v>
      </c>
      <c r="D36" s="41">
        <f t="shared" si="6"/>
        <v>48760</v>
      </c>
      <c r="E36" s="41">
        <f t="shared" si="6"/>
        <v>50221</v>
      </c>
      <c r="F36" s="41">
        <f t="shared" si="6"/>
        <v>50973</v>
      </c>
      <c r="G36" s="41">
        <f t="shared" si="6"/>
        <v>49153</v>
      </c>
      <c r="I36" s="37"/>
      <c r="J36" s="37"/>
    </row>
    <row r="37" spans="1:10" ht="13.2">
      <c r="A37" s="30" t="s">
        <v>91</v>
      </c>
      <c r="B37" s="27"/>
      <c r="C37" s="27"/>
      <c r="D37" s="27"/>
      <c r="E37" s="27"/>
      <c r="F37" s="27"/>
      <c r="G37" s="27"/>
    </row>
    <row r="38" spans="1:10" ht="13.2">
      <c r="A38" s="30" t="s">
        <v>92</v>
      </c>
      <c r="B38" s="27"/>
      <c r="C38" s="27"/>
      <c r="D38" s="27"/>
      <c r="E38" s="27"/>
      <c r="F38" s="27"/>
      <c r="G38" s="27"/>
    </row>
    <row r="39" spans="1:10" ht="13.2">
      <c r="A39" s="26" t="s">
        <v>94</v>
      </c>
      <c r="B39" s="27"/>
      <c r="C39" s="27"/>
      <c r="D39" s="27"/>
      <c r="E39" s="27"/>
      <c r="F39" s="27"/>
      <c r="G39" s="27"/>
    </row>
    <row r="40" spans="1:10" ht="13.2">
      <c r="A40" s="26" t="s">
        <v>96</v>
      </c>
      <c r="B40" s="27"/>
      <c r="C40" s="26">
        <v>679</v>
      </c>
      <c r="D40" s="26">
        <v>686</v>
      </c>
      <c r="E40" s="26">
        <v>746</v>
      </c>
      <c r="F40" s="26">
        <v>1034</v>
      </c>
      <c r="G40" s="26">
        <v>1157</v>
      </c>
      <c r="I40" s="29"/>
      <c r="J40" s="29"/>
    </row>
    <row r="41" spans="1:10" ht="13.2">
      <c r="A41" s="26" t="s">
        <v>98</v>
      </c>
      <c r="B41" s="27"/>
      <c r="C41" s="26">
        <v>266</v>
      </c>
      <c r="D41" s="26">
        <v>329</v>
      </c>
      <c r="E41" s="26">
        <v>495</v>
      </c>
      <c r="F41" s="26">
        <v>430</v>
      </c>
      <c r="G41" s="26">
        <v>647</v>
      </c>
      <c r="I41" s="29"/>
      <c r="J41" s="29"/>
    </row>
    <row r="42" spans="1:10" ht="13.2">
      <c r="A42" s="26" t="s">
        <v>31</v>
      </c>
      <c r="B42" s="27"/>
      <c r="C42" s="26">
        <v>1551</v>
      </c>
      <c r="D42" s="26">
        <v>1553</v>
      </c>
      <c r="E42" s="26">
        <v>1335</v>
      </c>
      <c r="F42" s="26">
        <v>1551</v>
      </c>
      <c r="G42" s="26">
        <v>1509</v>
      </c>
      <c r="I42" s="29"/>
      <c r="J42" s="29"/>
    </row>
    <row r="43" spans="1:10" ht="13.2">
      <c r="A43" s="26" t="s">
        <v>100</v>
      </c>
      <c r="B43" s="27"/>
      <c r="C43" s="26">
        <v>5986</v>
      </c>
      <c r="D43" s="26">
        <v>6141</v>
      </c>
      <c r="E43" s="26">
        <v>6325</v>
      </c>
      <c r="F43" s="26">
        <v>6454</v>
      </c>
      <c r="G43" s="26">
        <v>6583</v>
      </c>
      <c r="I43" s="29"/>
      <c r="J43" s="29"/>
    </row>
    <row r="44" spans="1:10" ht="13.2">
      <c r="A44" s="47" t="s">
        <v>101</v>
      </c>
      <c r="B44" s="48"/>
      <c r="C44" s="47">
        <v>1359</v>
      </c>
      <c r="D44" s="47">
        <v>1324</v>
      </c>
      <c r="E44" s="47">
        <v>1076</v>
      </c>
      <c r="F44" s="47">
        <v>4231</v>
      </c>
      <c r="G44" s="47">
        <v>3592</v>
      </c>
      <c r="I44" s="29"/>
      <c r="J44" s="29"/>
    </row>
    <row r="45" spans="1:10" ht="13.2">
      <c r="A45" s="40" t="s">
        <v>102</v>
      </c>
      <c r="B45" s="41"/>
      <c r="C45" s="41">
        <f t="shared" ref="C45:G45" si="7">SUM(C40:C44)</f>
        <v>9841</v>
      </c>
      <c r="D45" s="41">
        <f t="shared" si="7"/>
        <v>10033</v>
      </c>
      <c r="E45" s="41">
        <f t="shared" si="7"/>
        <v>9977</v>
      </c>
      <c r="F45" s="41">
        <f t="shared" si="7"/>
        <v>13700</v>
      </c>
      <c r="G45" s="41">
        <f t="shared" si="7"/>
        <v>13488</v>
      </c>
      <c r="I45" s="37"/>
      <c r="J45" s="37"/>
    </row>
    <row r="46" spans="1:10" ht="13.2">
      <c r="A46" s="27"/>
      <c r="B46" s="27"/>
      <c r="C46" s="27"/>
      <c r="D46" s="27"/>
      <c r="E46" s="27"/>
      <c r="F46" s="27"/>
      <c r="G46" s="27"/>
    </row>
    <row r="47" spans="1:10" ht="13.2">
      <c r="A47" s="30" t="s">
        <v>104</v>
      </c>
      <c r="B47" s="27"/>
      <c r="C47" s="27"/>
      <c r="D47" s="27"/>
      <c r="E47" s="27"/>
      <c r="F47" s="27"/>
      <c r="G47" s="27"/>
    </row>
    <row r="48" spans="1:10" ht="13.2">
      <c r="A48" s="26" t="s">
        <v>94</v>
      </c>
      <c r="B48" s="27"/>
      <c r="C48" s="27"/>
      <c r="D48" s="27"/>
      <c r="E48" s="27"/>
      <c r="F48" s="27"/>
      <c r="G48" s="27"/>
    </row>
    <row r="49" spans="1:27" ht="13.2">
      <c r="A49" s="26" t="s">
        <v>96</v>
      </c>
      <c r="B49" s="27"/>
      <c r="C49" s="26">
        <v>264</v>
      </c>
      <c r="D49" s="26">
        <v>285</v>
      </c>
      <c r="E49" s="26">
        <v>293</v>
      </c>
      <c r="F49" s="26">
        <v>340</v>
      </c>
      <c r="G49" s="26">
        <v>380</v>
      </c>
      <c r="I49" s="29"/>
      <c r="J49" s="29"/>
    </row>
    <row r="50" spans="1:27" ht="13.2">
      <c r="A50" s="26" t="s">
        <v>105</v>
      </c>
      <c r="B50" s="27"/>
      <c r="C50" s="26">
        <v>8627</v>
      </c>
      <c r="D50" s="26">
        <v>8864</v>
      </c>
      <c r="E50" s="26">
        <v>9391</v>
      </c>
      <c r="F50" s="26">
        <v>10148</v>
      </c>
      <c r="G50" s="26">
        <v>10998</v>
      </c>
      <c r="I50" s="29"/>
      <c r="J50" s="29"/>
    </row>
    <row r="51" spans="1:27" ht="13.2">
      <c r="A51" s="26" t="s">
        <v>98</v>
      </c>
      <c r="B51" s="27"/>
      <c r="C51" s="26">
        <v>892</v>
      </c>
      <c r="D51" s="26">
        <v>823</v>
      </c>
      <c r="E51" s="26">
        <v>829</v>
      </c>
      <c r="F51" s="26">
        <v>797</v>
      </c>
      <c r="G51" s="26">
        <v>825</v>
      </c>
      <c r="I51" s="29"/>
      <c r="J51" s="29"/>
    </row>
    <row r="52" spans="1:27" ht="13.2">
      <c r="A52" s="26" t="s">
        <v>107</v>
      </c>
      <c r="B52" s="27"/>
      <c r="C52" s="26">
        <v>567</v>
      </c>
      <c r="D52" s="26">
        <v>638</v>
      </c>
      <c r="E52" s="26">
        <v>735</v>
      </c>
      <c r="F52" s="26">
        <v>789</v>
      </c>
      <c r="G52" s="26">
        <v>921</v>
      </c>
      <c r="I52" s="29"/>
      <c r="J52" s="29"/>
    </row>
    <row r="53" spans="1:27" ht="13.2">
      <c r="A53" s="26" t="s">
        <v>31</v>
      </c>
      <c r="B53" s="27"/>
      <c r="C53" s="26">
        <v>491</v>
      </c>
      <c r="D53" s="26">
        <v>334</v>
      </c>
      <c r="E53" s="26">
        <v>379</v>
      </c>
      <c r="F53" s="26">
        <v>329</v>
      </c>
      <c r="G53" s="26">
        <v>661</v>
      </c>
      <c r="I53" s="29"/>
      <c r="J53" s="29"/>
    </row>
    <row r="54" spans="1:27" ht="13.2">
      <c r="A54" s="47" t="s">
        <v>110</v>
      </c>
      <c r="B54" s="48"/>
      <c r="C54" s="47">
        <v>0</v>
      </c>
      <c r="D54" s="47">
        <v>0</v>
      </c>
      <c r="E54" s="47">
        <v>0</v>
      </c>
      <c r="F54" s="47">
        <v>0</v>
      </c>
      <c r="G54" s="47">
        <v>1887</v>
      </c>
      <c r="I54" s="29"/>
      <c r="J54" s="29"/>
    </row>
    <row r="55" spans="1:27" ht="13.2">
      <c r="A55" s="74" t="s">
        <v>112</v>
      </c>
      <c r="B55" s="75"/>
      <c r="C55" s="75">
        <f t="shared" ref="C55:G55" si="8">SUM(C49:C54)</f>
        <v>10841</v>
      </c>
      <c r="D55" s="75">
        <f t="shared" si="8"/>
        <v>10944</v>
      </c>
      <c r="E55" s="75">
        <f t="shared" si="8"/>
        <v>11627</v>
      </c>
      <c r="F55" s="75">
        <f t="shared" si="8"/>
        <v>12403</v>
      </c>
      <c r="G55" s="75">
        <f t="shared" si="8"/>
        <v>15672</v>
      </c>
      <c r="I55" s="37"/>
      <c r="J55" s="37"/>
    </row>
    <row r="56" spans="1:27" ht="13.2">
      <c r="A56" s="80" t="s">
        <v>49</v>
      </c>
      <c r="B56" s="81"/>
      <c r="C56" s="81">
        <f t="shared" ref="C56:G56" si="9">C36+C45+C55</f>
        <v>68116</v>
      </c>
      <c r="D56" s="81">
        <f t="shared" si="9"/>
        <v>69737</v>
      </c>
      <c r="E56" s="81">
        <f t="shared" si="9"/>
        <v>71825</v>
      </c>
      <c r="F56" s="81">
        <f t="shared" si="9"/>
        <v>77076</v>
      </c>
      <c r="G56" s="81">
        <f t="shared" si="9"/>
        <v>78313</v>
      </c>
      <c r="H56" s="37"/>
      <c r="K56" s="37"/>
      <c r="L56" s="37"/>
      <c r="M56" s="37"/>
      <c r="N56" s="37"/>
      <c r="O56" s="37"/>
      <c r="P56" s="37"/>
      <c r="Q56" s="37"/>
      <c r="R56" s="37"/>
      <c r="S56" s="37"/>
      <c r="T56" s="37"/>
      <c r="U56" s="37"/>
      <c r="V56" s="37"/>
      <c r="W56" s="37"/>
      <c r="X56" s="37"/>
      <c r="Y56" s="37"/>
      <c r="Z56" s="37"/>
      <c r="AA56" s="37"/>
    </row>
    <row r="57" spans="1:27" ht="13.2">
      <c r="A57" s="22"/>
      <c r="B57" s="22"/>
      <c r="C57" s="22"/>
      <c r="D57" s="22"/>
      <c r="E57" s="22"/>
      <c r="F57" s="22"/>
      <c r="G57" s="22"/>
    </row>
    <row r="58" spans="1:27" ht="13.2">
      <c r="A58" s="30" t="s">
        <v>129</v>
      </c>
      <c r="B58" s="27"/>
      <c r="C58" s="27"/>
      <c r="D58" s="27"/>
      <c r="E58" s="27"/>
      <c r="F58" s="27"/>
      <c r="G58" s="27"/>
    </row>
    <row r="59" spans="1:27" ht="13.2">
      <c r="A59" s="38" t="s">
        <v>131</v>
      </c>
      <c r="B59" s="48"/>
      <c r="C59" s="48"/>
      <c r="D59" s="48"/>
      <c r="E59" s="48"/>
      <c r="F59" s="48"/>
      <c r="G59" s="48"/>
    </row>
    <row r="60" spans="1:27" ht="13.2">
      <c r="A60" s="26" t="s">
        <v>132</v>
      </c>
      <c r="B60" s="27"/>
      <c r="C60" s="26">
        <v>5786</v>
      </c>
      <c r="D60" s="26">
        <v>5813</v>
      </c>
      <c r="E60" s="26">
        <v>6189</v>
      </c>
      <c r="F60" s="26">
        <v>7178</v>
      </c>
      <c r="G60" s="26">
        <v>7710</v>
      </c>
      <c r="I60" s="29"/>
      <c r="J60" s="29"/>
    </row>
    <row r="61" spans="1:27" ht="13.2">
      <c r="A61" s="26" t="s">
        <v>133</v>
      </c>
      <c r="B61" s="27"/>
      <c r="C61" s="26">
        <v>623</v>
      </c>
      <c r="D61" s="26">
        <v>901</v>
      </c>
      <c r="E61" s="26">
        <v>1020</v>
      </c>
      <c r="F61" s="26">
        <v>915</v>
      </c>
      <c r="G61" s="26">
        <v>956</v>
      </c>
      <c r="I61" s="29"/>
      <c r="J61" s="29"/>
    </row>
    <row r="62" spans="1:27" ht="13.2">
      <c r="A62" s="26" t="s">
        <v>136</v>
      </c>
      <c r="B62" s="27"/>
      <c r="C62" s="26">
        <v>17316</v>
      </c>
      <c r="D62" s="26">
        <v>17316</v>
      </c>
      <c r="E62" s="26">
        <v>17316</v>
      </c>
      <c r="F62" s="26">
        <v>17316</v>
      </c>
      <c r="G62" s="26">
        <v>17316</v>
      </c>
      <c r="I62" s="29"/>
      <c r="J62" s="29"/>
    </row>
    <row r="63" spans="1:27" ht="13.2">
      <c r="A63" s="26" t="s">
        <v>138</v>
      </c>
      <c r="B63" s="27"/>
      <c r="C63" s="26">
        <v>27925</v>
      </c>
      <c r="D63" s="26">
        <v>27905</v>
      </c>
      <c r="E63" s="26">
        <v>27900</v>
      </c>
      <c r="F63" s="26">
        <v>27885</v>
      </c>
      <c r="G63" s="26">
        <v>27881</v>
      </c>
      <c r="I63" s="29"/>
      <c r="J63" s="29"/>
    </row>
    <row r="64" spans="1:27" ht="13.2">
      <c r="A64" s="26" t="s">
        <v>139</v>
      </c>
      <c r="B64" s="27"/>
      <c r="C64" s="27"/>
      <c r="D64" s="27"/>
      <c r="E64" s="27"/>
      <c r="F64" s="27"/>
      <c r="G64" s="27"/>
    </row>
    <row r="65" spans="1:27" ht="13.2">
      <c r="A65" s="26" t="s">
        <v>141</v>
      </c>
      <c r="B65" s="27"/>
      <c r="C65" s="26">
        <v>310</v>
      </c>
      <c r="D65" s="26">
        <v>610</v>
      </c>
      <c r="E65" s="26">
        <v>981</v>
      </c>
      <c r="F65" s="26">
        <v>981</v>
      </c>
      <c r="G65" s="26">
        <v>986</v>
      </c>
      <c r="I65" s="29"/>
      <c r="J65" s="29"/>
    </row>
    <row r="66" spans="1:27" ht="13.2">
      <c r="A66" s="26" t="s">
        <v>145</v>
      </c>
      <c r="B66" s="27"/>
      <c r="C66" s="26">
        <v>2</v>
      </c>
      <c r="D66" s="26">
        <v>2</v>
      </c>
      <c r="E66" s="26">
        <v>2</v>
      </c>
      <c r="F66" s="26">
        <v>2</v>
      </c>
      <c r="G66" s="26">
        <v>2</v>
      </c>
      <c r="I66" s="29"/>
      <c r="J66" s="29"/>
    </row>
    <row r="67" spans="1:27" ht="13.2">
      <c r="A67" s="26" t="s">
        <v>146</v>
      </c>
      <c r="B67" s="27"/>
      <c r="C67" s="26">
        <v>385</v>
      </c>
      <c r="D67" s="26">
        <v>541</v>
      </c>
      <c r="E67" s="26">
        <v>339</v>
      </c>
      <c r="F67" s="26">
        <v>392</v>
      </c>
      <c r="G67" s="26">
        <v>332</v>
      </c>
      <c r="I67" s="29"/>
      <c r="J67" s="29"/>
    </row>
    <row r="68" spans="1:27" ht="13.2">
      <c r="A68" s="26" t="s">
        <v>148</v>
      </c>
      <c r="B68" s="27"/>
      <c r="C68" s="26">
        <v>748</v>
      </c>
      <c r="D68" s="26">
        <v>720</v>
      </c>
      <c r="E68" s="26">
        <v>715</v>
      </c>
      <c r="F68" s="26">
        <v>714</v>
      </c>
      <c r="G68" s="26">
        <v>744</v>
      </c>
      <c r="I68" s="29"/>
      <c r="J68" s="29"/>
    </row>
    <row r="69" spans="1:27" ht="13.2">
      <c r="A69" s="26" t="s">
        <v>150</v>
      </c>
      <c r="B69" s="27"/>
      <c r="C69" s="26">
        <v>1200</v>
      </c>
      <c r="D69" s="26">
        <v>1107</v>
      </c>
      <c r="E69" s="26">
        <v>1115</v>
      </c>
      <c r="F69" s="26">
        <v>1118</v>
      </c>
      <c r="G69" s="26">
        <v>1144</v>
      </c>
      <c r="I69" s="29"/>
      <c r="J69" s="29"/>
    </row>
    <row r="70" spans="1:27" ht="13.2">
      <c r="A70" s="26" t="s">
        <v>151</v>
      </c>
      <c r="B70" s="27"/>
      <c r="C70" s="26">
        <v>181</v>
      </c>
      <c r="D70" s="26">
        <v>175</v>
      </c>
      <c r="E70" s="26">
        <v>199</v>
      </c>
      <c r="F70" s="26">
        <v>279</v>
      </c>
      <c r="G70" s="26">
        <v>343</v>
      </c>
      <c r="I70" s="29"/>
      <c r="J70" s="29"/>
    </row>
    <row r="71" spans="1:27" ht="13.2">
      <c r="A71" s="40" t="s">
        <v>153</v>
      </c>
      <c r="B71" s="41"/>
      <c r="C71" s="41">
        <f t="shared" ref="C71:G71" si="10">SUM(C60:C70)</f>
        <v>54476</v>
      </c>
      <c r="D71" s="41">
        <f t="shared" si="10"/>
        <v>55090</v>
      </c>
      <c r="E71" s="41">
        <f t="shared" si="10"/>
        <v>55776</v>
      </c>
      <c r="F71" s="41">
        <f t="shared" si="10"/>
        <v>56780</v>
      </c>
      <c r="G71" s="41">
        <f t="shared" si="10"/>
        <v>57414</v>
      </c>
      <c r="H71" s="37"/>
      <c r="I71" s="37"/>
      <c r="J71" s="37"/>
      <c r="K71" s="37"/>
      <c r="L71" s="37"/>
      <c r="M71" s="37"/>
      <c r="N71" s="37"/>
      <c r="O71" s="37"/>
      <c r="P71" s="37"/>
      <c r="Q71" s="37"/>
      <c r="R71" s="37"/>
      <c r="S71" s="37"/>
      <c r="T71" s="37"/>
      <c r="U71" s="37"/>
      <c r="V71" s="37"/>
      <c r="W71" s="37"/>
      <c r="X71" s="37"/>
      <c r="Y71" s="37"/>
      <c r="Z71" s="37"/>
      <c r="AA71" s="37"/>
    </row>
    <row r="72" spans="1:27" ht="13.2">
      <c r="A72" s="30" t="s">
        <v>158</v>
      </c>
      <c r="B72" s="27"/>
      <c r="C72" s="27"/>
      <c r="D72" s="27"/>
      <c r="E72" s="27"/>
      <c r="F72" s="27"/>
      <c r="G72" s="27"/>
    </row>
    <row r="73" spans="1:27" ht="13.2">
      <c r="A73" s="26" t="s">
        <v>80</v>
      </c>
      <c r="B73" s="27"/>
      <c r="C73" s="26">
        <v>3383</v>
      </c>
      <c r="D73" s="26">
        <v>3890</v>
      </c>
      <c r="E73" s="26">
        <v>4031</v>
      </c>
      <c r="F73" s="26">
        <v>3812</v>
      </c>
      <c r="G73" s="26">
        <v>4161</v>
      </c>
      <c r="I73" s="29"/>
      <c r="J73" s="29"/>
    </row>
    <row r="74" spans="1:27" ht="13.2">
      <c r="A74" s="26" t="s">
        <v>139</v>
      </c>
      <c r="B74" s="27"/>
      <c r="C74" s="27"/>
      <c r="D74" s="27"/>
      <c r="E74" s="27"/>
      <c r="F74" s="27"/>
      <c r="G74" s="27"/>
    </row>
    <row r="75" spans="1:27" ht="13.2">
      <c r="A75" s="26" t="s">
        <v>145</v>
      </c>
      <c r="B75" s="27"/>
      <c r="C75" s="26">
        <v>2683</v>
      </c>
      <c r="D75" s="26">
        <v>3510</v>
      </c>
      <c r="E75" s="26">
        <v>2811</v>
      </c>
      <c r="F75" s="26">
        <v>4510</v>
      </c>
      <c r="G75" s="26">
        <v>3614</v>
      </c>
      <c r="I75" s="29"/>
      <c r="J75" s="29"/>
    </row>
    <row r="76" spans="1:27" ht="13.2">
      <c r="A76" s="26" t="s">
        <v>146</v>
      </c>
      <c r="B76" s="27"/>
      <c r="C76" s="26">
        <v>34</v>
      </c>
      <c r="D76" s="26">
        <v>34</v>
      </c>
      <c r="E76" s="26">
        <v>35</v>
      </c>
      <c r="F76" s="26">
        <v>37</v>
      </c>
      <c r="G76" s="26">
        <v>45</v>
      </c>
      <c r="I76" s="29"/>
      <c r="J76" s="29"/>
    </row>
    <row r="77" spans="1:27" ht="13.2">
      <c r="A77" s="26" t="s">
        <v>159</v>
      </c>
      <c r="B77" s="27"/>
      <c r="C77" s="26">
        <v>1648</v>
      </c>
      <c r="D77" s="26">
        <v>1932</v>
      </c>
      <c r="E77" s="26">
        <v>2735</v>
      </c>
      <c r="F77" s="26">
        <v>2690</v>
      </c>
      <c r="G77" s="26">
        <v>3450</v>
      </c>
      <c r="I77" s="29"/>
      <c r="J77" s="29"/>
    </row>
    <row r="78" spans="1:27" ht="13.2">
      <c r="A78" s="26" t="s">
        <v>160</v>
      </c>
      <c r="B78" s="27"/>
      <c r="C78" s="26">
        <v>1740</v>
      </c>
      <c r="D78" s="26">
        <v>988</v>
      </c>
      <c r="E78" s="26">
        <v>586</v>
      </c>
      <c r="F78" s="26">
        <v>609</v>
      </c>
      <c r="G78" s="26">
        <v>5947</v>
      </c>
      <c r="I78" s="29"/>
      <c r="J78" s="29"/>
    </row>
    <row r="79" spans="1:27" ht="13.2">
      <c r="A79" s="26" t="s">
        <v>161</v>
      </c>
      <c r="B79" s="27"/>
      <c r="C79" s="26">
        <v>2581</v>
      </c>
      <c r="D79" s="26">
        <v>2630</v>
      </c>
      <c r="E79" s="26">
        <v>3836</v>
      </c>
      <c r="F79" s="26">
        <v>6607</v>
      </c>
      <c r="G79" s="26">
        <v>1346</v>
      </c>
      <c r="I79" s="29"/>
      <c r="J79" s="29"/>
    </row>
    <row r="80" spans="1:27" ht="13.2">
      <c r="A80" s="26" t="s">
        <v>162</v>
      </c>
      <c r="B80" s="27"/>
      <c r="C80" s="26">
        <v>1116</v>
      </c>
      <c r="D80" s="26">
        <v>1070</v>
      </c>
      <c r="E80" s="26">
        <v>1391</v>
      </c>
      <c r="F80" s="26">
        <v>1416</v>
      </c>
      <c r="G80" s="26">
        <v>1469</v>
      </c>
      <c r="I80" s="29"/>
      <c r="J80" s="29"/>
    </row>
    <row r="81" spans="1:27" ht="13.2">
      <c r="A81" s="26" t="s">
        <v>164</v>
      </c>
      <c r="B81" s="27"/>
      <c r="C81" s="26">
        <v>438</v>
      </c>
      <c r="D81" s="26">
        <v>580</v>
      </c>
      <c r="E81" s="26">
        <v>612</v>
      </c>
      <c r="F81" s="26">
        <v>603</v>
      </c>
      <c r="G81" s="26">
        <v>844</v>
      </c>
      <c r="I81" s="29"/>
      <c r="J81" s="29"/>
    </row>
    <row r="82" spans="1:27" ht="13.2">
      <c r="A82" s="26" t="s">
        <v>166</v>
      </c>
      <c r="B82" s="27"/>
      <c r="C82" s="26">
        <v>17</v>
      </c>
      <c r="D82" s="26">
        <v>13</v>
      </c>
      <c r="E82" s="26">
        <v>12</v>
      </c>
      <c r="F82" s="26">
        <v>12</v>
      </c>
      <c r="G82" s="26">
        <v>23</v>
      </c>
      <c r="I82" s="29"/>
      <c r="J82" s="29"/>
    </row>
    <row r="83" spans="1:27" ht="13.2">
      <c r="A83" s="41" t="s">
        <v>168</v>
      </c>
      <c r="B83" s="41"/>
      <c r="C83" s="41">
        <f t="shared" ref="C83:G83" si="11">SUM(C73:C82)</f>
        <v>13640</v>
      </c>
      <c r="D83" s="41">
        <f t="shared" si="11"/>
        <v>14647</v>
      </c>
      <c r="E83" s="41">
        <f t="shared" si="11"/>
        <v>16049</v>
      </c>
      <c r="F83" s="41">
        <f t="shared" si="11"/>
        <v>20296</v>
      </c>
      <c r="G83" s="41">
        <f t="shared" si="11"/>
        <v>20899</v>
      </c>
      <c r="H83" s="37"/>
      <c r="I83" s="37"/>
      <c r="J83" s="37"/>
      <c r="K83" s="37"/>
      <c r="L83" s="37"/>
      <c r="M83" s="37"/>
      <c r="N83" s="37"/>
      <c r="O83" s="37"/>
      <c r="P83" s="37"/>
      <c r="Q83" s="37"/>
      <c r="R83" s="37"/>
      <c r="S83" s="37"/>
      <c r="T83" s="37"/>
      <c r="U83" s="37"/>
      <c r="V83" s="37"/>
      <c r="W83" s="37"/>
      <c r="X83" s="37"/>
      <c r="Y83" s="37"/>
      <c r="Z83" s="37"/>
      <c r="AA83" s="37"/>
    </row>
    <row r="84" spans="1:27" ht="13.2">
      <c r="A84" s="81" t="s">
        <v>171</v>
      </c>
      <c r="B84" s="81"/>
      <c r="C84" s="81">
        <f t="shared" ref="C84:G84" si="12">C71+C83</f>
        <v>68116</v>
      </c>
      <c r="D84" s="81">
        <f t="shared" si="12"/>
        <v>69737</v>
      </c>
      <c r="E84" s="81">
        <f t="shared" si="12"/>
        <v>71825</v>
      </c>
      <c r="F84" s="81">
        <f t="shared" si="12"/>
        <v>77076</v>
      </c>
      <c r="G84" s="81">
        <f t="shared" si="12"/>
        <v>78313</v>
      </c>
      <c r="I84" s="88"/>
      <c r="J84" s="88"/>
    </row>
  </sheetData>
  <mergeCells count="3">
    <mergeCell ref="C1:E1"/>
    <mergeCell ref="A3:G3"/>
    <mergeCell ref="A30:G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K101"/>
  <sheetViews>
    <sheetView showGridLines="0" workbookViewId="0"/>
  </sheetViews>
  <sheetFormatPr defaultColWidth="12.6640625" defaultRowHeight="15.75" customHeight="1"/>
  <cols>
    <col min="1" max="1" width="36.44140625" customWidth="1"/>
    <col min="2" max="2" width="15.109375" customWidth="1"/>
    <col min="3" max="3" width="13.33203125" customWidth="1"/>
    <col min="4" max="4" width="18.109375" customWidth="1"/>
    <col min="5" max="5" width="19.6640625" customWidth="1"/>
    <col min="7" max="7" width="13.33203125" customWidth="1"/>
    <col min="8" max="9" width="16.109375" customWidth="1"/>
    <col min="10" max="10" width="22.109375" customWidth="1"/>
    <col min="11" max="11" width="20.6640625" customWidth="1"/>
  </cols>
  <sheetData>
    <row r="2" spans="1:11">
      <c r="E2" s="5" t="s">
        <v>0</v>
      </c>
      <c r="K2" s="7"/>
    </row>
    <row r="3" spans="1:11" ht="15.75" customHeight="1">
      <c r="A3" s="246" t="s">
        <v>2</v>
      </c>
      <c r="B3" s="247"/>
      <c r="C3" s="247"/>
      <c r="D3" s="247"/>
      <c r="E3" s="248"/>
      <c r="F3" s="11"/>
      <c r="H3" s="11"/>
      <c r="I3" s="11"/>
      <c r="J3" s="11"/>
      <c r="K3" s="11"/>
    </row>
    <row r="4" spans="1:11" ht="15.75" customHeight="1">
      <c r="A4" s="13" t="s">
        <v>4</v>
      </c>
      <c r="B4" s="13" t="s">
        <v>6</v>
      </c>
      <c r="C4" s="13" t="s">
        <v>7</v>
      </c>
      <c r="D4" s="13" t="s">
        <v>9</v>
      </c>
      <c r="E4" s="13" t="s">
        <v>10</v>
      </c>
      <c r="H4" s="15"/>
      <c r="I4" s="15"/>
      <c r="J4" s="15"/>
      <c r="K4" s="15"/>
    </row>
    <row r="5" spans="1:11">
      <c r="A5" s="16" t="s">
        <v>13</v>
      </c>
      <c r="B5" s="18"/>
      <c r="C5" s="18"/>
      <c r="D5" s="18"/>
      <c r="E5" s="18"/>
      <c r="H5" s="19"/>
      <c r="I5" s="19"/>
      <c r="J5" s="19"/>
      <c r="K5" s="19"/>
    </row>
    <row r="6" spans="1:11">
      <c r="A6" s="20" t="s">
        <v>17</v>
      </c>
      <c r="B6" s="23">
        <v>235</v>
      </c>
      <c r="C6" s="23">
        <v>235</v>
      </c>
      <c r="D6" s="23">
        <v>0</v>
      </c>
      <c r="E6" s="24">
        <v>0</v>
      </c>
      <c r="H6" s="25"/>
      <c r="I6" s="25"/>
      <c r="J6" s="25"/>
      <c r="K6" s="28"/>
    </row>
    <row r="7" spans="1:11">
      <c r="A7" s="20" t="s">
        <v>19</v>
      </c>
      <c r="B7" s="23">
        <v>50738</v>
      </c>
      <c r="C7" s="23">
        <v>48918</v>
      </c>
      <c r="D7" s="23">
        <f t="shared" ref="D7:D8" si="0">C7-B7</f>
        <v>-1820</v>
      </c>
      <c r="E7" s="32">
        <v>-3.5900000000000001E-2</v>
      </c>
      <c r="H7" s="25"/>
      <c r="I7" s="25"/>
      <c r="J7" s="25"/>
      <c r="K7" s="28"/>
    </row>
    <row r="8" spans="1:11">
      <c r="A8" s="20" t="s">
        <v>22</v>
      </c>
      <c r="B8" s="23">
        <v>50973</v>
      </c>
      <c r="C8" s="23">
        <v>49153</v>
      </c>
      <c r="D8" s="23">
        <f t="shared" si="0"/>
        <v>-1820</v>
      </c>
      <c r="E8" s="32">
        <v>-3.5700000000000003E-2</v>
      </c>
      <c r="H8" s="33"/>
      <c r="I8" s="33"/>
      <c r="J8" s="33"/>
      <c r="K8" s="34"/>
    </row>
    <row r="9" spans="1:11">
      <c r="A9" s="35" t="s">
        <v>23</v>
      </c>
      <c r="B9" s="36"/>
      <c r="C9" s="36"/>
      <c r="D9" s="23"/>
      <c r="E9" s="36"/>
      <c r="H9" s="19"/>
      <c r="I9" s="19"/>
      <c r="J9" s="19"/>
      <c r="K9" s="19"/>
    </row>
    <row r="10" spans="1:11">
      <c r="A10" s="35" t="s">
        <v>24</v>
      </c>
      <c r="B10" s="36"/>
      <c r="C10" s="36"/>
      <c r="D10" s="23"/>
      <c r="E10" s="36"/>
      <c r="H10" s="19"/>
      <c r="I10" s="19"/>
      <c r="J10" s="19"/>
      <c r="K10" s="19"/>
    </row>
    <row r="11" spans="1:11">
      <c r="A11" s="20" t="s">
        <v>25</v>
      </c>
      <c r="B11" s="23">
        <v>1034</v>
      </c>
      <c r="C11" s="23">
        <v>1157</v>
      </c>
      <c r="D11" s="23">
        <f t="shared" ref="D11:D16" si="1">C11-B11</f>
        <v>123</v>
      </c>
      <c r="E11" s="32">
        <v>0.11890000000000001</v>
      </c>
      <c r="H11" s="25"/>
      <c r="I11" s="25"/>
      <c r="J11" s="25"/>
      <c r="K11" s="28"/>
    </row>
    <row r="12" spans="1:11">
      <c r="A12" s="20" t="s">
        <v>29</v>
      </c>
      <c r="B12" s="23">
        <v>430</v>
      </c>
      <c r="C12" s="23">
        <v>647</v>
      </c>
      <c r="D12" s="23">
        <f t="shared" si="1"/>
        <v>217</v>
      </c>
      <c r="E12" s="32">
        <v>0.50460000000000005</v>
      </c>
      <c r="H12" s="25"/>
      <c r="I12" s="25"/>
      <c r="J12" s="25"/>
      <c r="K12" s="28"/>
    </row>
    <row r="13" spans="1:11">
      <c r="A13" s="20" t="s">
        <v>31</v>
      </c>
      <c r="B13" s="23">
        <v>1551</v>
      </c>
      <c r="C13" s="23">
        <v>1509</v>
      </c>
      <c r="D13" s="23">
        <f t="shared" si="1"/>
        <v>-42</v>
      </c>
      <c r="E13" s="32">
        <v>-2.7099999999999999E-2</v>
      </c>
      <c r="H13" s="25"/>
      <c r="I13" s="25"/>
      <c r="J13" s="25"/>
      <c r="K13" s="28"/>
    </row>
    <row r="14" spans="1:11">
      <c r="A14" s="20" t="s">
        <v>36</v>
      </c>
      <c r="B14" s="23">
        <v>6454</v>
      </c>
      <c r="C14" s="23">
        <v>6583</v>
      </c>
      <c r="D14" s="23">
        <f t="shared" si="1"/>
        <v>129</v>
      </c>
      <c r="E14" s="32">
        <v>0.02</v>
      </c>
      <c r="H14" s="25"/>
      <c r="I14" s="25"/>
      <c r="J14" s="25"/>
      <c r="K14" s="28"/>
    </row>
    <row r="15" spans="1:11">
      <c r="A15" s="20" t="s">
        <v>38</v>
      </c>
      <c r="B15" s="23">
        <v>4231</v>
      </c>
      <c r="C15" s="23">
        <v>3592</v>
      </c>
      <c r="D15" s="23">
        <f t="shared" si="1"/>
        <v>-639</v>
      </c>
      <c r="E15" s="32">
        <v>-0.151</v>
      </c>
      <c r="H15" s="25"/>
      <c r="I15" s="25"/>
      <c r="J15" s="25"/>
      <c r="K15" s="28"/>
    </row>
    <row r="16" spans="1:11">
      <c r="A16" s="20" t="s">
        <v>39</v>
      </c>
      <c r="B16" s="23">
        <v>13700</v>
      </c>
      <c r="C16" s="23">
        <v>13488</v>
      </c>
      <c r="D16" s="23">
        <f t="shared" si="1"/>
        <v>-212</v>
      </c>
      <c r="E16" s="32">
        <v>-1.54E-2</v>
      </c>
      <c r="H16" s="25"/>
      <c r="I16" s="25"/>
      <c r="J16" s="25"/>
      <c r="K16" s="28"/>
    </row>
    <row r="17" spans="1:11">
      <c r="A17" s="36"/>
      <c r="B17" s="36"/>
      <c r="C17" s="36"/>
      <c r="D17" s="23"/>
      <c r="E17" s="36"/>
      <c r="H17" s="25"/>
      <c r="I17" s="25"/>
      <c r="J17" s="25"/>
      <c r="K17" s="28"/>
    </row>
    <row r="18" spans="1:11">
      <c r="A18" s="35" t="s">
        <v>40</v>
      </c>
      <c r="B18" s="36"/>
      <c r="C18" s="36"/>
      <c r="D18" s="23"/>
      <c r="E18" s="36"/>
      <c r="H18" s="33"/>
      <c r="I18" s="33"/>
      <c r="J18" s="33"/>
      <c r="K18" s="34"/>
    </row>
    <row r="19" spans="1:11">
      <c r="A19" s="20" t="s">
        <v>25</v>
      </c>
      <c r="B19" s="23">
        <v>340</v>
      </c>
      <c r="C19" s="23">
        <v>380</v>
      </c>
      <c r="D19" s="23">
        <f t="shared" ref="D19:D26" si="2">C19-B19</f>
        <v>40</v>
      </c>
      <c r="E19" s="32">
        <v>0.1176</v>
      </c>
      <c r="H19" s="25"/>
      <c r="I19" s="25"/>
      <c r="J19" s="25"/>
      <c r="K19" s="28"/>
    </row>
    <row r="20" spans="1:11">
      <c r="A20" s="20" t="s">
        <v>42</v>
      </c>
      <c r="B20" s="23">
        <v>10148</v>
      </c>
      <c r="C20" s="23">
        <v>10998</v>
      </c>
      <c r="D20" s="23">
        <f t="shared" si="2"/>
        <v>850</v>
      </c>
      <c r="E20" s="32">
        <v>8.3799999999999999E-2</v>
      </c>
      <c r="H20" s="25"/>
      <c r="I20" s="25"/>
      <c r="J20" s="25"/>
      <c r="K20" s="28"/>
    </row>
    <row r="21" spans="1:11">
      <c r="A21" s="20" t="s">
        <v>29</v>
      </c>
      <c r="B21" s="23">
        <v>797</v>
      </c>
      <c r="C21" s="23">
        <v>825</v>
      </c>
      <c r="D21" s="23">
        <f t="shared" si="2"/>
        <v>28</v>
      </c>
      <c r="E21" s="32">
        <v>3.5099999999999999E-2</v>
      </c>
      <c r="H21" s="25"/>
      <c r="I21" s="25"/>
      <c r="J21" s="25"/>
      <c r="K21" s="28"/>
    </row>
    <row r="22" spans="1:11">
      <c r="A22" s="20" t="s">
        <v>43</v>
      </c>
      <c r="B22" s="23">
        <v>789</v>
      </c>
      <c r="C22" s="23">
        <v>921</v>
      </c>
      <c r="D22" s="23">
        <f t="shared" si="2"/>
        <v>132</v>
      </c>
      <c r="E22" s="32">
        <v>0.1673</v>
      </c>
      <c r="H22" s="25"/>
      <c r="I22" s="25"/>
      <c r="J22" s="25"/>
      <c r="K22" s="28"/>
    </row>
    <row r="23" spans="1:11">
      <c r="A23" s="20" t="s">
        <v>31</v>
      </c>
      <c r="B23" s="23">
        <v>329</v>
      </c>
      <c r="C23" s="23">
        <v>661</v>
      </c>
      <c r="D23" s="23">
        <f t="shared" si="2"/>
        <v>332</v>
      </c>
      <c r="E23" s="32">
        <v>1.0091000000000001</v>
      </c>
      <c r="H23" s="25"/>
      <c r="I23" s="25"/>
      <c r="J23" s="25"/>
      <c r="K23" s="28"/>
    </row>
    <row r="24" spans="1:11">
      <c r="A24" s="20" t="s">
        <v>46</v>
      </c>
      <c r="B24" s="23">
        <v>0</v>
      </c>
      <c r="C24" s="23">
        <v>1887</v>
      </c>
      <c r="D24" s="23">
        <f t="shared" si="2"/>
        <v>1887</v>
      </c>
      <c r="E24" s="32">
        <v>1</v>
      </c>
      <c r="H24" s="33"/>
      <c r="I24" s="33"/>
      <c r="J24" s="33"/>
      <c r="K24" s="34"/>
    </row>
    <row r="25" spans="1:11">
      <c r="A25" s="42" t="s">
        <v>47</v>
      </c>
      <c r="B25" s="43">
        <v>12403</v>
      </c>
      <c r="C25" s="43">
        <v>15672</v>
      </c>
      <c r="D25" s="43">
        <f t="shared" si="2"/>
        <v>3269</v>
      </c>
      <c r="E25" s="44">
        <v>0.2636</v>
      </c>
    </row>
    <row r="26" spans="1:11">
      <c r="A26" s="45" t="s">
        <v>49</v>
      </c>
      <c r="B26" s="46">
        <v>77076</v>
      </c>
      <c r="C26" s="46">
        <v>78313</v>
      </c>
      <c r="D26" s="46">
        <f t="shared" si="2"/>
        <v>1237</v>
      </c>
      <c r="E26" s="49">
        <v>1.6E-2</v>
      </c>
    </row>
    <row r="27" spans="1:11">
      <c r="A27" s="50"/>
      <c r="B27" s="50"/>
      <c r="C27" s="50"/>
      <c r="D27" s="52"/>
      <c r="E27" s="50"/>
      <c r="H27" s="54"/>
      <c r="I27" s="54"/>
      <c r="J27" s="54"/>
    </row>
    <row r="28" spans="1:11">
      <c r="A28" s="35" t="s">
        <v>53</v>
      </c>
      <c r="B28" s="36"/>
      <c r="C28" s="36"/>
      <c r="D28" s="23"/>
      <c r="E28" s="36"/>
      <c r="H28" s="54"/>
      <c r="I28" s="54"/>
      <c r="J28" s="55"/>
    </row>
    <row r="29" spans="1:11">
      <c r="A29" s="35" t="s">
        <v>54</v>
      </c>
      <c r="B29" s="36"/>
      <c r="C29" s="36"/>
      <c r="D29" s="23"/>
      <c r="E29" s="36"/>
    </row>
    <row r="30" spans="1:11">
      <c r="A30" s="20" t="s">
        <v>55</v>
      </c>
      <c r="B30" s="23">
        <v>7178</v>
      </c>
      <c r="C30" s="23">
        <v>7710</v>
      </c>
      <c r="D30" s="23">
        <f t="shared" ref="D30:D38" si="3">C30-B30</f>
        <v>532</v>
      </c>
      <c r="E30" s="32">
        <v>7.4099999999999999E-2</v>
      </c>
      <c r="H30" s="56"/>
      <c r="I30" s="56"/>
    </row>
    <row r="31" spans="1:11">
      <c r="A31" s="20" t="s">
        <v>57</v>
      </c>
      <c r="B31" s="23">
        <v>915</v>
      </c>
      <c r="C31" s="23">
        <v>956</v>
      </c>
      <c r="D31" s="23">
        <f t="shared" si="3"/>
        <v>41</v>
      </c>
      <c r="E31" s="32">
        <v>4.48E-2</v>
      </c>
      <c r="H31" s="57"/>
      <c r="I31" s="57"/>
    </row>
    <row r="32" spans="1:11">
      <c r="A32" s="20" t="s">
        <v>58</v>
      </c>
      <c r="B32" s="23">
        <v>17316</v>
      </c>
      <c r="C32" s="23">
        <v>17316</v>
      </c>
      <c r="D32" s="23">
        <f t="shared" si="3"/>
        <v>0</v>
      </c>
      <c r="E32" s="32">
        <v>0</v>
      </c>
      <c r="H32" s="57"/>
      <c r="I32" s="57"/>
    </row>
    <row r="33" spans="1:9">
      <c r="A33" s="20" t="s">
        <v>60</v>
      </c>
      <c r="B33" s="23">
        <v>27885</v>
      </c>
      <c r="C33" s="23">
        <v>27881</v>
      </c>
      <c r="D33" s="23">
        <f t="shared" si="3"/>
        <v>-4</v>
      </c>
      <c r="E33" s="32">
        <v>-1E-4</v>
      </c>
      <c r="H33" s="57"/>
      <c r="I33" s="57"/>
    </row>
    <row r="34" spans="1:9" ht="13.2">
      <c r="A34" s="20" t="s">
        <v>65</v>
      </c>
      <c r="B34" s="23">
        <v>981</v>
      </c>
      <c r="C34" s="23">
        <v>986</v>
      </c>
      <c r="D34" s="23">
        <f t="shared" si="3"/>
        <v>5</v>
      </c>
      <c r="E34" s="32">
        <v>5.1000000000000004E-3</v>
      </c>
      <c r="H34" s="57"/>
      <c r="I34" s="57"/>
    </row>
    <row r="35" spans="1:9" ht="13.2">
      <c r="A35" s="20" t="s">
        <v>68</v>
      </c>
      <c r="B35" s="23">
        <v>714</v>
      </c>
      <c r="C35" s="23">
        <v>744</v>
      </c>
      <c r="D35" s="23">
        <f t="shared" si="3"/>
        <v>30</v>
      </c>
      <c r="E35" s="32">
        <v>4.2000000000000003E-2</v>
      </c>
      <c r="H35" s="57"/>
      <c r="I35" s="57"/>
    </row>
    <row r="36" spans="1:9" ht="13.2">
      <c r="A36" s="20" t="s">
        <v>69</v>
      </c>
      <c r="B36" s="23">
        <v>1118</v>
      </c>
      <c r="C36" s="23">
        <v>1144</v>
      </c>
      <c r="D36" s="23">
        <f t="shared" si="3"/>
        <v>26</v>
      </c>
      <c r="E36" s="32">
        <v>2.3300000000000001E-2</v>
      </c>
      <c r="H36" s="56"/>
    </row>
    <row r="37" spans="1:9" ht="13.2">
      <c r="A37" s="20" t="s">
        <v>73</v>
      </c>
      <c r="B37" s="23">
        <v>279</v>
      </c>
      <c r="C37" s="23">
        <v>343</v>
      </c>
      <c r="D37" s="23">
        <f t="shared" si="3"/>
        <v>64</v>
      </c>
      <c r="E37" s="32">
        <v>0.22939999999999999</v>
      </c>
    </row>
    <row r="38" spans="1:9" ht="13.2">
      <c r="A38" s="20" t="s">
        <v>78</v>
      </c>
      <c r="B38" s="23">
        <v>56780</v>
      </c>
      <c r="C38" s="23">
        <v>57414</v>
      </c>
      <c r="D38" s="23">
        <f t="shared" si="3"/>
        <v>634</v>
      </c>
      <c r="E38" s="32">
        <v>1.12E-2</v>
      </c>
    </row>
    <row r="39" spans="1:9" ht="13.2">
      <c r="A39" s="35" t="s">
        <v>79</v>
      </c>
      <c r="B39" s="36"/>
      <c r="C39" s="36"/>
      <c r="D39" s="23"/>
      <c r="E39" s="36"/>
    </row>
    <row r="40" spans="1:9" ht="13.2">
      <c r="A40" s="20" t="s">
        <v>80</v>
      </c>
      <c r="B40" s="23">
        <v>3812</v>
      </c>
      <c r="C40" s="23">
        <v>4161</v>
      </c>
      <c r="D40" s="23">
        <f t="shared" ref="D40:D50" si="4">C40-B40</f>
        <v>349</v>
      </c>
      <c r="E40" s="32">
        <v>9.1499999999999998E-2</v>
      </c>
    </row>
    <row r="41" spans="1:9" ht="13.2">
      <c r="A41" s="20" t="s">
        <v>82</v>
      </c>
      <c r="B41" s="23">
        <v>4510</v>
      </c>
      <c r="C41" s="23">
        <v>3614</v>
      </c>
      <c r="D41" s="23">
        <f t="shared" si="4"/>
        <v>-896</v>
      </c>
      <c r="E41" s="32">
        <v>-0.1986</v>
      </c>
    </row>
    <row r="42" spans="1:9" ht="13.2">
      <c r="A42" s="20" t="s">
        <v>86</v>
      </c>
      <c r="B42" s="23">
        <v>37</v>
      </c>
      <c r="C42" s="23">
        <v>45</v>
      </c>
      <c r="D42" s="23">
        <f t="shared" si="4"/>
        <v>8</v>
      </c>
      <c r="E42" s="32">
        <v>0.2162</v>
      </c>
    </row>
    <row r="43" spans="1:9" ht="13.2">
      <c r="A43" s="20" t="s">
        <v>88</v>
      </c>
      <c r="B43" s="23">
        <v>2690</v>
      </c>
      <c r="C43" s="23">
        <v>3450</v>
      </c>
      <c r="D43" s="23">
        <f t="shared" si="4"/>
        <v>760</v>
      </c>
      <c r="E43" s="32">
        <v>0.28249999999999997</v>
      </c>
    </row>
    <row r="44" spans="1:9" ht="13.2">
      <c r="A44" s="20" t="s">
        <v>89</v>
      </c>
      <c r="B44" s="23">
        <v>609</v>
      </c>
      <c r="C44" s="23">
        <v>5947</v>
      </c>
      <c r="D44" s="23">
        <f t="shared" si="4"/>
        <v>5338</v>
      </c>
      <c r="E44" s="32">
        <v>8.76</v>
      </c>
    </row>
    <row r="45" spans="1:9" ht="13.2">
      <c r="A45" s="20" t="s">
        <v>90</v>
      </c>
      <c r="B45" s="23">
        <v>6607</v>
      </c>
      <c r="C45" s="23">
        <v>1346</v>
      </c>
      <c r="D45" s="23">
        <f t="shared" si="4"/>
        <v>-5261</v>
      </c>
      <c r="E45" s="32">
        <v>-0.79590000000000005</v>
      </c>
    </row>
    <row r="46" spans="1:9" ht="13.2">
      <c r="A46" s="20" t="s">
        <v>68</v>
      </c>
      <c r="B46" s="23">
        <v>1416</v>
      </c>
      <c r="C46" s="23">
        <v>1469</v>
      </c>
      <c r="D46" s="23">
        <f t="shared" si="4"/>
        <v>53</v>
      </c>
      <c r="E46" s="32">
        <v>3.7400000000000003E-2</v>
      </c>
    </row>
    <row r="47" spans="1:9" ht="13.2">
      <c r="A47" s="20" t="s">
        <v>93</v>
      </c>
      <c r="B47" s="23">
        <v>603</v>
      </c>
      <c r="C47" s="23">
        <v>844</v>
      </c>
      <c r="D47" s="23">
        <f t="shared" si="4"/>
        <v>241</v>
      </c>
      <c r="E47" s="32">
        <v>0.3997</v>
      </c>
    </row>
    <row r="48" spans="1:9" ht="13.2">
      <c r="A48" s="20" t="s">
        <v>95</v>
      </c>
      <c r="B48" s="23">
        <v>12</v>
      </c>
      <c r="C48" s="23">
        <v>23</v>
      </c>
      <c r="D48" s="23">
        <f t="shared" si="4"/>
        <v>11</v>
      </c>
      <c r="E48" s="32">
        <v>0.91669999999999996</v>
      </c>
    </row>
    <row r="49" spans="1:9" ht="13.2">
      <c r="A49" s="42" t="s">
        <v>97</v>
      </c>
      <c r="B49" s="43">
        <v>20296</v>
      </c>
      <c r="C49" s="43">
        <v>20899</v>
      </c>
      <c r="D49" s="43">
        <f t="shared" si="4"/>
        <v>603</v>
      </c>
      <c r="E49" s="44">
        <v>2.9700000000000001E-2</v>
      </c>
    </row>
    <row r="50" spans="1:9" ht="13.2">
      <c r="A50" s="62" t="s">
        <v>99</v>
      </c>
      <c r="B50" s="63">
        <v>77076</v>
      </c>
      <c r="C50" s="64">
        <v>78313</v>
      </c>
      <c r="D50" s="63">
        <f t="shared" si="4"/>
        <v>1237</v>
      </c>
      <c r="E50" s="65">
        <v>1.6E-2</v>
      </c>
    </row>
    <row r="51" spans="1:9" ht="13.2">
      <c r="H51" s="56"/>
      <c r="I51" s="56"/>
    </row>
    <row r="52" spans="1:9" ht="13.2">
      <c r="H52" s="56"/>
      <c r="I52" s="56"/>
    </row>
    <row r="53" spans="1:9" ht="13.2">
      <c r="H53" s="56"/>
      <c r="I53" s="56"/>
    </row>
    <row r="54" spans="1:9" ht="13.8">
      <c r="A54" s="257" t="s">
        <v>103</v>
      </c>
      <c r="B54" s="247"/>
      <c r="C54" s="248"/>
      <c r="D54" s="66"/>
      <c r="E54" s="67"/>
      <c r="F54" s="67"/>
      <c r="H54" s="56"/>
      <c r="I54" s="56"/>
    </row>
    <row r="55" spans="1:9" ht="13.2">
      <c r="A55" s="68"/>
      <c r="C55" s="69"/>
      <c r="H55" s="56"/>
      <c r="I55" s="56"/>
    </row>
    <row r="56" spans="1:9" ht="13.2">
      <c r="A56" s="70"/>
      <c r="B56" s="71"/>
      <c r="C56" s="72"/>
      <c r="D56" s="73"/>
      <c r="E56" s="73"/>
      <c r="F56" s="73"/>
      <c r="G56" s="73"/>
    </row>
    <row r="57" spans="1:9" ht="13.2">
      <c r="A57" s="258" t="s">
        <v>106</v>
      </c>
      <c r="B57" s="250"/>
      <c r="C57" s="251"/>
    </row>
    <row r="58" spans="1:9" ht="13.2">
      <c r="A58" s="249" t="s">
        <v>111</v>
      </c>
      <c r="B58" s="250"/>
      <c r="C58" s="251"/>
    </row>
    <row r="59" spans="1:9" ht="13.2">
      <c r="A59" s="249" t="s">
        <v>113</v>
      </c>
      <c r="B59" s="250"/>
      <c r="C59" s="251"/>
    </row>
    <row r="60" spans="1:9" ht="13.2">
      <c r="A60" s="249" t="s">
        <v>114</v>
      </c>
      <c r="B60" s="250"/>
      <c r="C60" s="251"/>
    </row>
    <row r="61" spans="1:9" ht="13.2">
      <c r="A61" s="249" t="s">
        <v>116</v>
      </c>
      <c r="B61" s="250"/>
      <c r="C61" s="251"/>
    </row>
    <row r="62" spans="1:9" ht="13.2">
      <c r="A62" s="249" t="s">
        <v>118</v>
      </c>
      <c r="B62" s="250"/>
      <c r="C62" s="251"/>
    </row>
    <row r="63" spans="1:9" ht="13.2">
      <c r="A63" s="76"/>
      <c r="B63" s="77"/>
      <c r="C63" s="78"/>
    </row>
    <row r="65" spans="1:5" ht="13.2">
      <c r="A65" s="79"/>
    </row>
    <row r="68" spans="1:5" ht="13.2">
      <c r="E68" s="7" t="s">
        <v>0</v>
      </c>
    </row>
    <row r="69" spans="1:5" ht="15.6">
      <c r="A69" s="246" t="s">
        <v>120</v>
      </c>
      <c r="B69" s="247"/>
      <c r="C69" s="247"/>
      <c r="D69" s="247"/>
      <c r="E69" s="248"/>
    </row>
    <row r="70" spans="1:5" ht="15.6">
      <c r="A70" s="13" t="s">
        <v>4</v>
      </c>
      <c r="B70" s="13" t="s">
        <v>6</v>
      </c>
      <c r="C70" s="13" t="s">
        <v>7</v>
      </c>
      <c r="D70" s="13" t="s">
        <v>9</v>
      </c>
      <c r="E70" s="13" t="s">
        <v>10</v>
      </c>
    </row>
    <row r="71" spans="1:5" ht="13.2">
      <c r="A71" s="16" t="s">
        <v>121</v>
      </c>
      <c r="B71" s="50"/>
      <c r="C71" s="50"/>
      <c r="D71" s="50"/>
      <c r="E71" s="50"/>
    </row>
    <row r="72" spans="1:5" ht="13.2">
      <c r="A72" s="20" t="s">
        <v>122</v>
      </c>
      <c r="B72" s="23">
        <v>60469</v>
      </c>
      <c r="C72" s="23">
        <v>61469</v>
      </c>
      <c r="D72" s="23">
        <f t="shared" ref="D72:D74" si="5">C72-B72</f>
        <v>1000</v>
      </c>
      <c r="E72" s="32">
        <f t="shared" ref="E72:E74" si="6">(D72/B72)</f>
        <v>1.6537399328581587E-2</v>
      </c>
    </row>
    <row r="73" spans="1:5" ht="13.2">
      <c r="A73" s="20" t="s">
        <v>124</v>
      </c>
      <c r="B73" s="23">
        <v>973</v>
      </c>
      <c r="C73" s="23">
        <v>1177</v>
      </c>
      <c r="D73" s="23">
        <f t="shared" si="5"/>
        <v>204</v>
      </c>
      <c r="E73" s="32">
        <f t="shared" si="6"/>
        <v>0.20966084275436794</v>
      </c>
    </row>
    <row r="74" spans="1:5" ht="13.2">
      <c r="A74" s="35" t="s">
        <v>126</v>
      </c>
      <c r="B74" s="82">
        <v>61442</v>
      </c>
      <c r="C74" s="82">
        <v>62646</v>
      </c>
      <c r="D74" s="82">
        <f t="shared" si="5"/>
        <v>1204</v>
      </c>
      <c r="E74" s="83">
        <f t="shared" si="6"/>
        <v>1.9595716285277173E-2</v>
      </c>
    </row>
    <row r="75" spans="1:5" ht="13.2">
      <c r="A75" s="36"/>
      <c r="B75" s="36"/>
      <c r="C75" s="36"/>
      <c r="D75" s="23"/>
      <c r="E75" s="32"/>
    </row>
    <row r="76" spans="1:5" ht="13.2">
      <c r="A76" s="35" t="s">
        <v>127</v>
      </c>
      <c r="B76" s="36"/>
      <c r="C76" s="36"/>
      <c r="D76" s="23"/>
      <c r="E76" s="32"/>
    </row>
    <row r="77" spans="1:5" ht="13.2">
      <c r="A77" s="20" t="s">
        <v>128</v>
      </c>
      <c r="B77" s="23">
        <v>17791</v>
      </c>
      <c r="C77" s="23">
        <v>17698</v>
      </c>
      <c r="D77" s="23">
        <f t="shared" ref="D77:D90" si="7">C77-B77</f>
        <v>-93</v>
      </c>
      <c r="E77" s="32">
        <f t="shared" ref="E77:E90" si="8">(D77/B77)</f>
        <v>-5.2273621494013829E-3</v>
      </c>
    </row>
    <row r="78" spans="1:5" ht="13.2">
      <c r="A78" s="20" t="s">
        <v>134</v>
      </c>
      <c r="B78" s="23">
        <v>11544</v>
      </c>
      <c r="C78" s="23">
        <v>12584</v>
      </c>
      <c r="D78" s="23">
        <f t="shared" si="7"/>
        <v>1040</v>
      </c>
      <c r="E78" s="32">
        <f t="shared" si="8"/>
        <v>9.0090090090090086E-2</v>
      </c>
    </row>
    <row r="79" spans="1:5" ht="13.2">
      <c r="A79" s="20" t="s">
        <v>137</v>
      </c>
      <c r="B79" s="23">
        <v>-8</v>
      </c>
      <c r="C79" s="23">
        <v>-106</v>
      </c>
      <c r="D79" s="23">
        <f t="shared" si="7"/>
        <v>-98</v>
      </c>
      <c r="E79" s="32">
        <f t="shared" si="8"/>
        <v>12.25</v>
      </c>
    </row>
    <row r="80" spans="1:5" ht="13.2">
      <c r="A80" s="20" t="s">
        <v>140</v>
      </c>
      <c r="B80" s="23">
        <v>2782</v>
      </c>
      <c r="C80" s="23">
        <v>2840</v>
      </c>
      <c r="D80" s="23">
        <f t="shared" si="7"/>
        <v>58</v>
      </c>
      <c r="E80" s="32">
        <f t="shared" si="8"/>
        <v>2.0848310567936738E-2</v>
      </c>
    </row>
    <row r="81" spans="1:7" ht="13.2">
      <c r="A81" s="20" t="s">
        <v>142</v>
      </c>
      <c r="B81" s="23">
        <v>302</v>
      </c>
      <c r="C81" s="23">
        <v>364</v>
      </c>
      <c r="D81" s="23">
        <f t="shared" si="7"/>
        <v>62</v>
      </c>
      <c r="E81" s="32">
        <f t="shared" si="8"/>
        <v>0.20529801324503311</v>
      </c>
    </row>
    <row r="82" spans="1:7" ht="13.2">
      <c r="A82" s="20" t="s">
        <v>143</v>
      </c>
      <c r="B82" s="23">
        <v>1097</v>
      </c>
      <c r="C82" s="23">
        <v>1224</v>
      </c>
      <c r="D82" s="23">
        <f t="shared" si="7"/>
        <v>127</v>
      </c>
      <c r="E82" s="32">
        <f t="shared" si="8"/>
        <v>0.11577028258887875</v>
      </c>
    </row>
    <row r="83" spans="1:7" ht="13.2">
      <c r="A83" s="20" t="s">
        <v>144</v>
      </c>
      <c r="B83" s="23">
        <v>14170</v>
      </c>
      <c r="C83" s="23">
        <v>14164</v>
      </c>
      <c r="D83" s="23">
        <f t="shared" si="7"/>
        <v>-6</v>
      </c>
      <c r="E83" s="32">
        <f t="shared" si="8"/>
        <v>-4.2342978122794639E-4</v>
      </c>
    </row>
    <row r="84" spans="1:7" ht="13.2">
      <c r="A84" s="35" t="s">
        <v>147</v>
      </c>
      <c r="B84" s="82">
        <v>47678</v>
      </c>
      <c r="C84" s="82">
        <v>48768</v>
      </c>
      <c r="D84" s="82">
        <f t="shared" si="7"/>
        <v>1090</v>
      </c>
      <c r="E84" s="83">
        <f t="shared" si="8"/>
        <v>2.2861697218843072E-2</v>
      </c>
    </row>
    <row r="85" spans="1:7" ht="13.2">
      <c r="A85" s="20" t="s">
        <v>149</v>
      </c>
      <c r="B85" s="23">
        <v>13764</v>
      </c>
      <c r="C85" s="23">
        <v>13878</v>
      </c>
      <c r="D85" s="23">
        <f t="shared" si="7"/>
        <v>114</v>
      </c>
      <c r="E85" s="32">
        <f t="shared" si="8"/>
        <v>8.282476024411508E-3</v>
      </c>
    </row>
    <row r="86" spans="1:7" ht="13.2">
      <c r="A86" s="20" t="s">
        <v>152</v>
      </c>
      <c r="B86" s="23">
        <v>-89</v>
      </c>
      <c r="C86" s="23">
        <v>422</v>
      </c>
      <c r="D86" s="23">
        <f t="shared" si="7"/>
        <v>511</v>
      </c>
      <c r="E86" s="32">
        <f t="shared" si="8"/>
        <v>-5.7415730337078648</v>
      </c>
    </row>
    <row r="87" spans="1:7" ht="13.2">
      <c r="A87" s="35" t="s">
        <v>154</v>
      </c>
      <c r="B87" s="23">
        <v>13675</v>
      </c>
      <c r="C87" s="23">
        <v>14300</v>
      </c>
      <c r="D87" s="23">
        <f t="shared" si="7"/>
        <v>625</v>
      </c>
      <c r="E87" s="32">
        <f t="shared" si="8"/>
        <v>4.5703839122486288E-2</v>
      </c>
    </row>
    <row r="88" spans="1:7" ht="13.2">
      <c r="A88" s="20" t="s">
        <v>155</v>
      </c>
      <c r="B88" s="23">
        <v>-3446</v>
      </c>
      <c r="C88" s="23">
        <v>-3525</v>
      </c>
      <c r="D88" s="23">
        <f t="shared" si="7"/>
        <v>-79</v>
      </c>
      <c r="E88" s="32">
        <f t="shared" si="8"/>
        <v>2.2925130586186882E-2</v>
      </c>
    </row>
    <row r="89" spans="1:7" ht="13.2">
      <c r="A89" s="42" t="s">
        <v>156</v>
      </c>
      <c r="B89" s="43">
        <v>-115</v>
      </c>
      <c r="C89" s="43">
        <v>-131</v>
      </c>
      <c r="D89" s="43">
        <f t="shared" si="7"/>
        <v>-16</v>
      </c>
      <c r="E89" s="44">
        <f t="shared" si="8"/>
        <v>0.1391304347826087</v>
      </c>
    </row>
    <row r="90" spans="1:7" ht="13.2">
      <c r="A90" s="62" t="s">
        <v>157</v>
      </c>
      <c r="B90" s="63">
        <v>10114</v>
      </c>
      <c r="C90" s="63">
        <v>10644</v>
      </c>
      <c r="D90" s="63">
        <f t="shared" si="7"/>
        <v>530</v>
      </c>
      <c r="E90" s="85">
        <f t="shared" si="8"/>
        <v>5.2402610243227211E-2</v>
      </c>
    </row>
    <row r="93" spans="1:7" ht="13.8">
      <c r="A93" s="54"/>
      <c r="B93" s="54"/>
      <c r="C93" s="54"/>
      <c r="D93" s="54"/>
      <c r="G93" s="54"/>
    </row>
    <row r="94" spans="1:7" ht="13.8">
      <c r="A94" s="252" t="s">
        <v>103</v>
      </c>
      <c r="B94" s="247"/>
      <c r="C94" s="248"/>
      <c r="D94" s="55"/>
    </row>
    <row r="95" spans="1:7" ht="13.2">
      <c r="A95" s="68"/>
      <c r="C95" s="69"/>
    </row>
    <row r="96" spans="1:7" ht="13.2">
      <c r="A96" s="86"/>
      <c r="B96" s="56"/>
      <c r="C96" s="87"/>
      <c r="G96" s="56"/>
    </row>
    <row r="97" spans="1:3" ht="13.2">
      <c r="A97" s="253" t="s">
        <v>163</v>
      </c>
      <c r="B97" s="250"/>
      <c r="C97" s="251"/>
    </row>
    <row r="98" spans="1:3" ht="13.2">
      <c r="A98" s="253" t="s">
        <v>165</v>
      </c>
      <c r="B98" s="250"/>
      <c r="C98" s="251"/>
    </row>
    <row r="99" spans="1:3" ht="13.2">
      <c r="A99" s="253" t="s">
        <v>167</v>
      </c>
      <c r="B99" s="250"/>
      <c r="C99" s="251"/>
    </row>
    <row r="100" spans="1:3" ht="13.2">
      <c r="A100" s="253" t="s">
        <v>169</v>
      </c>
      <c r="B100" s="250"/>
      <c r="C100" s="251"/>
    </row>
    <row r="101" spans="1:3" ht="13.2">
      <c r="A101" s="254" t="s">
        <v>170</v>
      </c>
      <c r="B101" s="255"/>
      <c r="C101" s="256"/>
    </row>
  </sheetData>
  <mergeCells count="15">
    <mergeCell ref="A99:C99"/>
    <mergeCell ref="A100:C100"/>
    <mergeCell ref="A101:C101"/>
    <mergeCell ref="A3:E3"/>
    <mergeCell ref="A54:C54"/>
    <mergeCell ref="A57:C57"/>
    <mergeCell ref="A58:C58"/>
    <mergeCell ref="A59:C59"/>
    <mergeCell ref="A60:C60"/>
    <mergeCell ref="A61:C61"/>
    <mergeCell ref="A62:C62"/>
    <mergeCell ref="A69:E69"/>
    <mergeCell ref="A94:C94"/>
    <mergeCell ref="A97:C97"/>
    <mergeCell ref="A98:C9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L160"/>
  <sheetViews>
    <sheetView showGridLines="0" workbookViewId="0"/>
  </sheetViews>
  <sheetFormatPr defaultColWidth="12.6640625" defaultRowHeight="15.75" customHeight="1"/>
  <cols>
    <col min="1" max="1" width="32" customWidth="1"/>
    <col min="2" max="2" width="14.21875" customWidth="1"/>
    <col min="3" max="3" width="15.21875" customWidth="1"/>
    <col min="4" max="4" width="14" customWidth="1"/>
    <col min="5" max="6" width="14.33203125" customWidth="1"/>
    <col min="7" max="7" width="14.6640625" customWidth="1"/>
    <col min="8" max="8" width="14.109375" customWidth="1"/>
    <col min="9" max="9" width="14.21875" customWidth="1"/>
    <col min="10" max="10" width="14.33203125" customWidth="1"/>
    <col min="11" max="11" width="14.6640625" customWidth="1"/>
  </cols>
  <sheetData>
    <row r="2" spans="1:11">
      <c r="J2" s="5" t="s">
        <v>0</v>
      </c>
    </row>
    <row r="3" spans="1:11" ht="15.75" customHeight="1">
      <c r="A3" s="246" t="s">
        <v>59</v>
      </c>
      <c r="B3" s="247"/>
      <c r="C3" s="247"/>
      <c r="D3" s="247"/>
      <c r="E3" s="247"/>
      <c r="F3" s="247"/>
      <c r="G3" s="247"/>
      <c r="H3" s="247"/>
      <c r="I3" s="247"/>
      <c r="J3" s="247"/>
      <c r="K3" s="248"/>
    </row>
    <row r="4" spans="1:11">
      <c r="A4" s="58" t="s">
        <v>4</v>
      </c>
      <c r="B4" s="259" t="s">
        <v>61</v>
      </c>
      <c r="C4" s="247"/>
      <c r="D4" s="247"/>
      <c r="E4" s="247"/>
      <c r="F4" s="248"/>
      <c r="G4" s="260" t="s">
        <v>63</v>
      </c>
      <c r="H4" s="247"/>
      <c r="I4" s="247"/>
      <c r="J4" s="247"/>
      <c r="K4" s="248"/>
    </row>
    <row r="5" spans="1:11">
      <c r="A5" s="59"/>
      <c r="B5" s="60" t="s">
        <v>66</v>
      </c>
      <c r="C5" s="61" t="s">
        <v>70</v>
      </c>
      <c r="D5" s="61" t="s">
        <v>72</v>
      </c>
      <c r="E5" s="61" t="s">
        <v>74</v>
      </c>
      <c r="F5" s="61" t="s">
        <v>76</v>
      </c>
      <c r="G5" s="61" t="s">
        <v>77</v>
      </c>
      <c r="H5" s="61" t="s">
        <v>81</v>
      </c>
      <c r="I5" s="61" t="s">
        <v>83</v>
      </c>
      <c r="J5" s="61" t="s">
        <v>84</v>
      </c>
      <c r="K5" s="61" t="s">
        <v>85</v>
      </c>
    </row>
    <row r="6" spans="1:11">
      <c r="A6" s="30" t="s">
        <v>87</v>
      </c>
      <c r="B6" s="27"/>
      <c r="C6" s="27"/>
      <c r="D6" s="27"/>
      <c r="E6" s="27"/>
      <c r="F6" s="27"/>
      <c r="G6" s="27"/>
      <c r="H6" s="27"/>
      <c r="I6" s="27"/>
      <c r="J6" s="27"/>
      <c r="K6" s="27"/>
    </row>
    <row r="7" spans="1:11">
      <c r="A7" s="20" t="s">
        <v>17</v>
      </c>
      <c r="B7" s="23">
        <v>235</v>
      </c>
      <c r="C7" s="23">
        <v>235</v>
      </c>
      <c r="D7" s="23">
        <v>235</v>
      </c>
      <c r="E7" s="23">
        <v>235</v>
      </c>
      <c r="F7" s="23">
        <v>235</v>
      </c>
      <c r="G7" s="32">
        <f t="shared" ref="G7:G9" si="0">(B7/$B$27)</f>
        <v>3.449997063832286E-3</v>
      </c>
      <c r="H7" s="32">
        <f t="shared" ref="H7:H9" si="1">C7/$C$27</f>
        <v>3.3698036910105107E-3</v>
      </c>
      <c r="I7" s="32">
        <f t="shared" ref="I7:I9" si="2">D7/$D$27</f>
        <v>3.2718412808910545E-3</v>
      </c>
      <c r="J7" s="32">
        <f t="shared" ref="J7:J9" si="3">E7/$E$27</f>
        <v>3.0489387098448285E-3</v>
      </c>
      <c r="K7" s="32">
        <f t="shared" ref="K7:K9" si="4">F7/$F$27</f>
        <v>3.0007789255934521E-3</v>
      </c>
    </row>
    <row r="8" spans="1:11">
      <c r="A8" s="20" t="s">
        <v>19</v>
      </c>
      <c r="B8" s="23">
        <v>47199</v>
      </c>
      <c r="C8" s="23">
        <v>48525</v>
      </c>
      <c r="D8" s="23">
        <v>49986</v>
      </c>
      <c r="E8" s="23">
        <v>50738</v>
      </c>
      <c r="F8" s="23">
        <v>48918</v>
      </c>
      <c r="G8" s="32">
        <f t="shared" si="0"/>
        <v>0.69292089964178749</v>
      </c>
      <c r="H8" s="32">
        <f t="shared" si="1"/>
        <v>0.69582861321823419</v>
      </c>
      <c r="I8" s="32">
        <f t="shared" si="2"/>
        <v>0.69594152453880964</v>
      </c>
      <c r="J8" s="32">
        <f t="shared" si="3"/>
        <v>0.65828532876641233</v>
      </c>
      <c r="K8" s="32">
        <f t="shared" si="4"/>
        <v>0.62464724886034251</v>
      </c>
    </row>
    <row r="9" spans="1:11">
      <c r="A9" s="20" t="s">
        <v>108</v>
      </c>
      <c r="B9" s="23">
        <v>47434</v>
      </c>
      <c r="C9" s="23">
        <v>48760</v>
      </c>
      <c r="D9" s="23">
        <v>50221</v>
      </c>
      <c r="E9" s="23">
        <v>50973</v>
      </c>
      <c r="F9" s="23">
        <v>49153</v>
      </c>
      <c r="G9" s="32">
        <f t="shared" si="0"/>
        <v>0.6963708967056198</v>
      </c>
      <c r="H9" s="32">
        <f t="shared" si="1"/>
        <v>0.69919841690924478</v>
      </c>
      <c r="I9" s="32">
        <f t="shared" si="2"/>
        <v>0.69921336581970062</v>
      </c>
      <c r="J9" s="32">
        <f t="shared" si="3"/>
        <v>0.66133426747625723</v>
      </c>
      <c r="K9" s="32">
        <f t="shared" si="4"/>
        <v>0.62764802778593587</v>
      </c>
    </row>
    <row r="10" spans="1:11">
      <c r="A10" s="30" t="s">
        <v>23</v>
      </c>
      <c r="B10" s="27"/>
      <c r="C10" s="27"/>
      <c r="D10" s="27"/>
      <c r="E10" s="27"/>
      <c r="F10" s="27"/>
      <c r="G10" s="32"/>
      <c r="H10" s="32"/>
      <c r="I10" s="32"/>
      <c r="J10" s="32"/>
      <c r="K10" s="32"/>
    </row>
    <row r="11" spans="1:11">
      <c r="A11" s="30" t="s">
        <v>115</v>
      </c>
      <c r="B11" s="27"/>
      <c r="C11" s="27"/>
      <c r="D11" s="27"/>
      <c r="E11" s="27"/>
      <c r="F11" s="27"/>
      <c r="G11" s="32"/>
      <c r="H11" s="32"/>
      <c r="I11" s="32"/>
      <c r="J11" s="32"/>
      <c r="K11" s="32"/>
    </row>
    <row r="12" spans="1:11">
      <c r="A12" s="20" t="s">
        <v>119</v>
      </c>
      <c r="B12" s="23">
        <v>679</v>
      </c>
      <c r="C12" s="23">
        <v>686</v>
      </c>
      <c r="D12" s="23">
        <v>746</v>
      </c>
      <c r="E12" s="23">
        <v>1034</v>
      </c>
      <c r="F12" s="23">
        <v>1157</v>
      </c>
      <c r="G12" s="32">
        <f t="shared" ref="G12:G17" si="5">(B12/$B$27)</f>
        <v>9.9682893886898823E-3</v>
      </c>
      <c r="H12" s="32">
        <f t="shared" ref="H12:H17" si="6">C12/$C$27</f>
        <v>9.8369588597157897E-3</v>
      </c>
      <c r="I12" s="32">
        <f t="shared" ref="I12:I17" si="7">D12/$D$27</f>
        <v>1.0386355725722241E-2</v>
      </c>
      <c r="J12" s="32">
        <f t="shared" ref="J12:J17" si="8">E12/$E$27</f>
        <v>1.3415330323317246E-2</v>
      </c>
      <c r="K12" s="32">
        <f t="shared" ref="K12:K17" si="9">F12/$F$27</f>
        <v>1.4774047731538825E-2</v>
      </c>
    </row>
    <row r="13" spans="1:11">
      <c r="A13" s="20" t="s">
        <v>123</v>
      </c>
      <c r="B13" s="23">
        <v>266</v>
      </c>
      <c r="C13" s="23">
        <v>329</v>
      </c>
      <c r="D13" s="23">
        <v>495</v>
      </c>
      <c r="E13" s="23">
        <v>430</v>
      </c>
      <c r="F13" s="23">
        <v>647</v>
      </c>
      <c r="G13" s="32">
        <f t="shared" si="5"/>
        <v>3.905103059486758E-3</v>
      </c>
      <c r="H13" s="32">
        <f t="shared" si="6"/>
        <v>4.7177251674147156E-3</v>
      </c>
      <c r="I13" s="32">
        <f t="shared" si="7"/>
        <v>6.8917507831534981E-3</v>
      </c>
      <c r="J13" s="32">
        <f t="shared" si="8"/>
        <v>5.578909128652239E-3</v>
      </c>
      <c r="K13" s="32">
        <f t="shared" si="9"/>
        <v>8.2617189993998436E-3</v>
      </c>
    </row>
    <row r="14" spans="1:11">
      <c r="A14" s="20" t="s">
        <v>125</v>
      </c>
      <c r="B14" s="23">
        <v>1551</v>
      </c>
      <c r="C14" s="23">
        <v>1553</v>
      </c>
      <c r="D14" s="23">
        <v>1335</v>
      </c>
      <c r="E14" s="23">
        <v>1551</v>
      </c>
      <c r="F14" s="23">
        <v>1509</v>
      </c>
      <c r="G14" s="32">
        <f t="shared" si="5"/>
        <v>2.2769980621293089E-2</v>
      </c>
      <c r="H14" s="32">
        <f t="shared" si="6"/>
        <v>2.2269383541018397E-2</v>
      </c>
      <c r="I14" s="32">
        <f t="shared" si="7"/>
        <v>1.8586843021232161E-2</v>
      </c>
      <c r="J14" s="32">
        <f t="shared" si="8"/>
        <v>2.012299548497587E-2</v>
      </c>
      <c r="K14" s="32">
        <f t="shared" si="9"/>
        <v>1.9268831483917101E-2</v>
      </c>
    </row>
    <row r="15" spans="1:11">
      <c r="A15" s="20" t="s">
        <v>36</v>
      </c>
      <c r="B15" s="23">
        <v>5986</v>
      </c>
      <c r="C15" s="23">
        <v>6141</v>
      </c>
      <c r="D15" s="23">
        <v>6325</v>
      </c>
      <c r="E15" s="23">
        <v>6454</v>
      </c>
      <c r="F15" s="23">
        <v>6583</v>
      </c>
      <c r="G15" s="32">
        <f t="shared" si="5"/>
        <v>8.787949967702155E-2</v>
      </c>
      <c r="H15" s="32">
        <f t="shared" si="6"/>
        <v>8.8059423261683187E-2</v>
      </c>
      <c r="I15" s="32">
        <f t="shared" si="7"/>
        <v>8.8061260006961364E-2</v>
      </c>
      <c r="J15" s="32">
        <f t="shared" si="8"/>
        <v>8.3735533758887329E-2</v>
      </c>
      <c r="K15" s="32">
        <f t="shared" si="9"/>
        <v>8.4060117732688053E-2</v>
      </c>
    </row>
    <row r="16" spans="1:11">
      <c r="A16" s="20" t="s">
        <v>130</v>
      </c>
      <c r="B16" s="23">
        <v>1359</v>
      </c>
      <c r="C16" s="23">
        <v>1324</v>
      </c>
      <c r="D16" s="23">
        <v>1076</v>
      </c>
      <c r="E16" s="23">
        <v>4231</v>
      </c>
      <c r="F16" s="23">
        <v>3592</v>
      </c>
      <c r="G16" s="32">
        <f t="shared" si="5"/>
        <v>1.9951259615949263E-2</v>
      </c>
      <c r="H16" s="32">
        <f t="shared" si="6"/>
        <v>1.8985617391054962E-2</v>
      </c>
      <c r="I16" s="32">
        <f t="shared" si="7"/>
        <v>1.4980856247824574E-2</v>
      </c>
      <c r="J16" s="32">
        <f t="shared" si="8"/>
        <v>5.4893870984482847E-2</v>
      </c>
      <c r="K16" s="32">
        <f t="shared" si="9"/>
        <v>4.5867225109496507E-2</v>
      </c>
    </row>
    <row r="17" spans="1:11">
      <c r="A17" s="20" t="s">
        <v>135</v>
      </c>
      <c r="B17" s="23">
        <v>9841</v>
      </c>
      <c r="C17" s="23">
        <v>10033</v>
      </c>
      <c r="D17" s="23">
        <v>9977</v>
      </c>
      <c r="E17" s="23">
        <v>13700</v>
      </c>
      <c r="F17" s="23">
        <v>13488</v>
      </c>
      <c r="G17" s="32">
        <f t="shared" si="5"/>
        <v>0.14447413236244055</v>
      </c>
      <c r="H17" s="32">
        <f t="shared" si="6"/>
        <v>0.14386910822088705</v>
      </c>
      <c r="I17" s="32">
        <f t="shared" si="7"/>
        <v>0.13890706578489384</v>
      </c>
      <c r="J17" s="32">
        <f t="shared" si="8"/>
        <v>0.17774663968031554</v>
      </c>
      <c r="K17" s="32">
        <f t="shared" si="9"/>
        <v>0.17223194105704034</v>
      </c>
    </row>
    <row r="18" spans="1:11" ht="15.75" customHeight="1">
      <c r="A18" s="27"/>
      <c r="B18" s="27"/>
      <c r="C18" s="27"/>
      <c r="D18" s="27"/>
      <c r="E18" s="27"/>
      <c r="F18" s="84"/>
      <c r="G18" s="32"/>
      <c r="H18" s="32"/>
      <c r="I18" s="32"/>
      <c r="J18" s="32"/>
      <c r="K18" s="32"/>
    </row>
    <row r="19" spans="1:11">
      <c r="A19" s="30" t="s">
        <v>40</v>
      </c>
      <c r="B19" s="27"/>
      <c r="C19" s="27"/>
      <c r="D19" s="27"/>
      <c r="E19" s="27"/>
      <c r="F19" s="27"/>
      <c r="G19" s="32"/>
      <c r="H19" s="32"/>
      <c r="I19" s="32"/>
      <c r="J19" s="32"/>
      <c r="K19" s="32"/>
    </row>
    <row r="20" spans="1:11">
      <c r="A20" s="20" t="s">
        <v>119</v>
      </c>
      <c r="B20" s="23">
        <v>264</v>
      </c>
      <c r="C20" s="23">
        <v>285</v>
      </c>
      <c r="D20" s="23">
        <v>293</v>
      </c>
      <c r="E20" s="23">
        <v>340</v>
      </c>
      <c r="F20" s="23">
        <v>380</v>
      </c>
      <c r="G20" s="32">
        <f t="shared" ref="G20:G27" si="10">(B20/$B$27)</f>
        <v>3.8757413823477596E-3</v>
      </c>
      <c r="H20" s="32">
        <f t="shared" ref="H20:H27" si="11">C20/$C$27</f>
        <v>4.0867831997361513E-3</v>
      </c>
      <c r="I20" s="32">
        <f t="shared" ref="I20:I27" si="12">D20/$D$27</f>
        <v>4.0793595544726764E-3</v>
      </c>
      <c r="J20" s="32">
        <f t="shared" ref="J20:J27" si="13">E20/$E$27</f>
        <v>4.4112304738180494E-3</v>
      </c>
      <c r="K20" s="32">
        <f t="shared" ref="K20:K27" si="14">F20/$F$27</f>
        <v>4.8523233690447309E-3</v>
      </c>
    </row>
    <row r="21" spans="1:11">
      <c r="A21" s="20" t="s">
        <v>42</v>
      </c>
      <c r="B21" s="23">
        <v>8627</v>
      </c>
      <c r="C21" s="23">
        <v>8864</v>
      </c>
      <c r="D21" s="23">
        <v>9391</v>
      </c>
      <c r="E21" s="23">
        <v>10148</v>
      </c>
      <c r="F21" s="23">
        <v>10998</v>
      </c>
      <c r="G21" s="32">
        <f t="shared" si="10"/>
        <v>0.12665159433906864</v>
      </c>
      <c r="H21" s="32">
        <f t="shared" si="11"/>
        <v>0.12710612730688156</v>
      </c>
      <c r="I21" s="32">
        <f t="shared" si="12"/>
        <v>0.13074834667594848</v>
      </c>
      <c r="J21" s="32">
        <f t="shared" si="13"/>
        <v>0.13166225543619284</v>
      </c>
      <c r="K21" s="32">
        <f t="shared" si="14"/>
        <v>0.14043645371777355</v>
      </c>
    </row>
    <row r="22" spans="1:11">
      <c r="A22" s="20" t="s">
        <v>123</v>
      </c>
      <c r="B22" s="23">
        <v>829</v>
      </c>
      <c r="C22" s="23">
        <v>823</v>
      </c>
      <c r="D22" s="23">
        <v>829</v>
      </c>
      <c r="E22" s="23">
        <v>797</v>
      </c>
      <c r="F22" s="23">
        <v>825</v>
      </c>
      <c r="G22" s="32">
        <f t="shared" si="10"/>
        <v>1.2170415174114746E-2</v>
      </c>
      <c r="H22" s="32">
        <f t="shared" si="11"/>
        <v>1.1801482713624044E-2</v>
      </c>
      <c r="I22" s="32">
        <f t="shared" si="12"/>
        <v>1.1541942220675252E-2</v>
      </c>
      <c r="J22" s="32">
        <f t="shared" si="13"/>
        <v>1.0340443198920546E-2</v>
      </c>
      <c r="K22" s="32">
        <f t="shared" si="14"/>
        <v>1.0534649419636586E-2</v>
      </c>
    </row>
    <row r="23" spans="1:11">
      <c r="A23" s="20" t="s">
        <v>43</v>
      </c>
      <c r="B23" s="23">
        <v>567</v>
      </c>
      <c r="C23" s="23">
        <v>638</v>
      </c>
      <c r="D23" s="23">
        <v>735</v>
      </c>
      <c r="E23" s="23">
        <v>789</v>
      </c>
      <c r="F23" s="23">
        <v>921</v>
      </c>
      <c r="G23" s="32">
        <f t="shared" si="10"/>
        <v>8.3240354689059839E-3</v>
      </c>
      <c r="H23" s="32">
        <f t="shared" si="11"/>
        <v>9.1486585313391745E-3</v>
      </c>
      <c r="I23" s="32">
        <f t="shared" si="12"/>
        <v>1.0233205708318831E-2</v>
      </c>
      <c r="J23" s="32">
        <f t="shared" si="13"/>
        <v>1.0236649540713062E-2</v>
      </c>
      <c r="K23" s="32">
        <f t="shared" si="14"/>
        <v>1.1760499533921571E-2</v>
      </c>
    </row>
    <row r="24" spans="1:11">
      <c r="A24" s="20" t="s">
        <v>125</v>
      </c>
      <c r="B24" s="23">
        <v>491</v>
      </c>
      <c r="C24" s="23">
        <v>334</v>
      </c>
      <c r="D24" s="23">
        <v>379</v>
      </c>
      <c r="E24" s="23">
        <v>329</v>
      </c>
      <c r="F24" s="23">
        <v>661</v>
      </c>
      <c r="G24" s="32">
        <f t="shared" si="10"/>
        <v>7.2082917376240533E-3</v>
      </c>
      <c r="H24" s="32">
        <f t="shared" si="11"/>
        <v>4.7894231182872794E-3</v>
      </c>
      <c r="I24" s="32">
        <f t="shared" si="12"/>
        <v>5.2767142359902543E-3</v>
      </c>
      <c r="J24" s="32">
        <f t="shared" si="13"/>
        <v>4.26851419378276E-3</v>
      </c>
      <c r="K24" s="32">
        <f t="shared" si="14"/>
        <v>8.4404888077330709E-3</v>
      </c>
    </row>
    <row r="25" spans="1:11">
      <c r="A25" s="20" t="s">
        <v>46</v>
      </c>
      <c r="B25" s="23">
        <v>0</v>
      </c>
      <c r="C25" s="23">
        <v>0</v>
      </c>
      <c r="D25" s="23">
        <v>0</v>
      </c>
      <c r="E25" s="23">
        <v>0</v>
      </c>
      <c r="F25" s="23">
        <v>1887</v>
      </c>
      <c r="G25" s="32">
        <f t="shared" si="10"/>
        <v>0</v>
      </c>
      <c r="H25" s="32">
        <f t="shared" si="11"/>
        <v>0</v>
      </c>
      <c r="I25" s="32">
        <f t="shared" si="12"/>
        <v>0</v>
      </c>
      <c r="J25" s="32">
        <f t="shared" si="13"/>
        <v>0</v>
      </c>
      <c r="K25" s="32">
        <f t="shared" si="14"/>
        <v>2.4095616308914228E-2</v>
      </c>
    </row>
    <row r="26" spans="1:11">
      <c r="A26" s="42" t="s">
        <v>172</v>
      </c>
      <c r="B26" s="43">
        <v>10841</v>
      </c>
      <c r="C26" s="43">
        <v>10944</v>
      </c>
      <c r="D26" s="43">
        <v>11627</v>
      </c>
      <c r="E26" s="43">
        <v>12403</v>
      </c>
      <c r="F26" s="43">
        <v>15672</v>
      </c>
      <c r="G26" s="44">
        <f t="shared" si="10"/>
        <v>0.15915497093193964</v>
      </c>
      <c r="H26" s="44">
        <f t="shared" si="11"/>
        <v>0.15693247486986822</v>
      </c>
      <c r="I26" s="44">
        <f t="shared" si="12"/>
        <v>0.16187956839540549</v>
      </c>
      <c r="J26" s="44">
        <f t="shared" si="13"/>
        <v>0.16091909284342726</v>
      </c>
      <c r="K26" s="44">
        <f t="shared" si="14"/>
        <v>0.20012003115702373</v>
      </c>
    </row>
    <row r="27" spans="1:11">
      <c r="A27" s="62" t="s">
        <v>173</v>
      </c>
      <c r="B27" s="63">
        <v>68116</v>
      </c>
      <c r="C27" s="63">
        <v>69737</v>
      </c>
      <c r="D27" s="63">
        <v>71825</v>
      </c>
      <c r="E27" s="63">
        <v>77076</v>
      </c>
      <c r="F27" s="63">
        <v>78313</v>
      </c>
      <c r="G27" s="85">
        <f t="shared" si="10"/>
        <v>1</v>
      </c>
      <c r="H27" s="85">
        <f t="shared" si="11"/>
        <v>1</v>
      </c>
      <c r="I27" s="85">
        <f t="shared" si="12"/>
        <v>1</v>
      </c>
      <c r="J27" s="85">
        <f t="shared" si="13"/>
        <v>1</v>
      </c>
      <c r="K27" s="85">
        <f t="shared" si="14"/>
        <v>1</v>
      </c>
    </row>
    <row r="28" spans="1:11">
      <c r="A28" s="22"/>
      <c r="B28" s="22"/>
      <c r="C28" s="22"/>
      <c r="D28" s="22"/>
      <c r="E28" s="22"/>
      <c r="F28" s="22"/>
      <c r="G28" s="89"/>
      <c r="H28" s="89"/>
      <c r="I28" s="89"/>
      <c r="J28" s="89"/>
      <c r="K28" s="89"/>
    </row>
    <row r="29" spans="1:11">
      <c r="A29" s="30" t="s">
        <v>129</v>
      </c>
      <c r="B29" s="27"/>
      <c r="C29" s="27"/>
      <c r="D29" s="27"/>
      <c r="E29" s="27"/>
      <c r="F29" s="27"/>
      <c r="G29" s="90"/>
      <c r="H29" s="90"/>
      <c r="I29" s="90"/>
      <c r="J29" s="90"/>
      <c r="K29" s="90"/>
    </row>
    <row r="30" spans="1:11">
      <c r="A30" s="30" t="s">
        <v>174</v>
      </c>
      <c r="B30" s="27"/>
      <c r="C30" s="27"/>
      <c r="D30" s="27"/>
      <c r="E30" s="27"/>
      <c r="F30" s="27"/>
      <c r="G30" s="90"/>
      <c r="H30" s="90"/>
      <c r="I30" s="90"/>
      <c r="J30" s="90"/>
      <c r="K30" s="90"/>
    </row>
    <row r="31" spans="1:11">
      <c r="A31" s="20" t="s">
        <v>55</v>
      </c>
      <c r="B31" s="23">
        <v>5786</v>
      </c>
      <c r="C31" s="23">
        <v>5813</v>
      </c>
      <c r="D31" s="23">
        <v>6189</v>
      </c>
      <c r="E31" s="23">
        <v>7178</v>
      </c>
      <c r="F31" s="23">
        <v>7710</v>
      </c>
      <c r="G31" s="32">
        <f t="shared" ref="G31:G40" si="15">B31/$B$52</f>
        <v>8.4943331963121732E-2</v>
      </c>
      <c r="H31" s="32">
        <f t="shared" ref="H31:H40" si="16">C31/$C$52</f>
        <v>8.3356037684442982E-2</v>
      </c>
      <c r="I31" s="32">
        <f t="shared" ref="I31:I40" si="17">D31/$D$52</f>
        <v>8.6167768882701015E-2</v>
      </c>
      <c r="J31" s="32">
        <f t="shared" ref="J31:J40" si="18">E31/$E$52</f>
        <v>9.3128859826664592E-2</v>
      </c>
      <c r="K31" s="32">
        <f t="shared" ref="K31:K40" si="19">F31/$F$52</f>
        <v>9.8451087303512833E-2</v>
      </c>
    </row>
    <row r="32" spans="1:11">
      <c r="A32" s="20" t="s">
        <v>57</v>
      </c>
      <c r="B32" s="23">
        <v>623</v>
      </c>
      <c r="C32" s="23">
        <v>901</v>
      </c>
      <c r="D32" s="23">
        <v>1020</v>
      </c>
      <c r="E32" s="23">
        <v>915</v>
      </c>
      <c r="F32" s="23">
        <v>956</v>
      </c>
      <c r="G32" s="32">
        <f t="shared" si="15"/>
        <v>9.1461624287979323E-3</v>
      </c>
      <c r="H32" s="32">
        <f t="shared" si="16"/>
        <v>1.2919970747236043E-2</v>
      </c>
      <c r="I32" s="32">
        <f t="shared" si="17"/>
        <v>1.4201183431952662E-2</v>
      </c>
      <c r="J32" s="32">
        <f t="shared" si="18"/>
        <v>1.1871399657480929E-2</v>
      </c>
      <c r="K32" s="32">
        <f t="shared" si="19"/>
        <v>1.2207424054754638E-2</v>
      </c>
    </row>
    <row r="33" spans="1:11">
      <c r="A33" s="20" t="s">
        <v>58</v>
      </c>
      <c r="B33" s="23">
        <v>17316</v>
      </c>
      <c r="C33" s="23">
        <v>17316</v>
      </c>
      <c r="D33" s="23">
        <v>17316</v>
      </c>
      <c r="E33" s="23">
        <v>17316</v>
      </c>
      <c r="F33" s="23">
        <v>17316</v>
      </c>
      <c r="G33" s="32">
        <f t="shared" si="15"/>
        <v>0.25421340066944625</v>
      </c>
      <c r="H33" s="32">
        <f t="shared" si="16"/>
        <v>0.24830434346186386</v>
      </c>
      <c r="I33" s="32">
        <f t="shared" si="17"/>
        <v>0.24108597285067873</v>
      </c>
      <c r="J33" s="32">
        <f t="shared" si="18"/>
        <v>0.22466137319009807</v>
      </c>
      <c r="K33" s="32">
        <f t="shared" si="19"/>
        <v>0.22111271436415411</v>
      </c>
    </row>
    <row r="34" spans="1:11" ht="13.2">
      <c r="A34" s="20" t="s">
        <v>60</v>
      </c>
      <c r="B34" s="23">
        <v>27925</v>
      </c>
      <c r="C34" s="23">
        <v>27905</v>
      </c>
      <c r="D34" s="23">
        <v>27900</v>
      </c>
      <c r="E34" s="23">
        <v>27885</v>
      </c>
      <c r="F34" s="23">
        <v>27881</v>
      </c>
      <c r="G34" s="32">
        <f t="shared" si="15"/>
        <v>0.40996241705326208</v>
      </c>
      <c r="H34" s="32">
        <f t="shared" si="16"/>
        <v>0.40014626381978002</v>
      </c>
      <c r="I34" s="32">
        <f t="shared" si="17"/>
        <v>0.38844413505046987</v>
      </c>
      <c r="J34" s="32">
        <f t="shared" si="18"/>
        <v>0.36178576988945976</v>
      </c>
      <c r="K34" s="32">
        <f t="shared" si="19"/>
        <v>0.35602007329562141</v>
      </c>
    </row>
    <row r="35" spans="1:11" ht="13.2">
      <c r="A35" s="20" t="s">
        <v>178</v>
      </c>
      <c r="B35" s="23">
        <v>310</v>
      </c>
      <c r="C35" s="23">
        <v>610</v>
      </c>
      <c r="D35" s="23">
        <v>981</v>
      </c>
      <c r="E35" s="23">
        <v>981</v>
      </c>
      <c r="F35" s="23">
        <v>986</v>
      </c>
      <c r="G35" s="32">
        <f t="shared" si="15"/>
        <v>4.5510599565447181E-3</v>
      </c>
      <c r="H35" s="32">
        <f t="shared" si="16"/>
        <v>8.7471500064528161E-3</v>
      </c>
      <c r="I35" s="32">
        <f t="shared" si="17"/>
        <v>1.3658197006613295E-2</v>
      </c>
      <c r="J35" s="32">
        <f t="shared" si="18"/>
        <v>1.2727697337692667E-2</v>
      </c>
      <c r="K35" s="32">
        <f t="shared" si="19"/>
        <v>1.2590502215468697E-2</v>
      </c>
    </row>
    <row r="36" spans="1:11" ht="13.2">
      <c r="A36" s="20" t="s">
        <v>185</v>
      </c>
      <c r="B36" s="23">
        <v>385</v>
      </c>
      <c r="C36" s="23">
        <v>541</v>
      </c>
      <c r="D36" s="23">
        <v>339</v>
      </c>
      <c r="E36" s="23">
        <v>392</v>
      </c>
      <c r="F36" s="23">
        <v>332</v>
      </c>
      <c r="G36" s="32">
        <f t="shared" si="15"/>
        <v>5.6521228492571497E-3</v>
      </c>
      <c r="H36" s="32">
        <f t="shared" si="16"/>
        <v>7.7577182844114313E-3</v>
      </c>
      <c r="I36" s="32">
        <f t="shared" si="17"/>
        <v>4.7198050817960323E-3</v>
      </c>
      <c r="J36" s="32">
        <f t="shared" si="18"/>
        <v>5.0858892521666926E-3</v>
      </c>
      <c r="K36" s="32">
        <f t="shared" si="19"/>
        <v>4.2393983119022385E-3</v>
      </c>
    </row>
    <row r="37" spans="1:11" ht="13.2">
      <c r="A37" s="20" t="s">
        <v>187</v>
      </c>
      <c r="B37" s="23">
        <v>748</v>
      </c>
      <c r="C37" s="23">
        <v>720</v>
      </c>
      <c r="D37" s="23">
        <v>715</v>
      </c>
      <c r="E37" s="23">
        <v>714</v>
      </c>
      <c r="F37" s="23">
        <v>744</v>
      </c>
      <c r="G37" s="32">
        <f t="shared" si="15"/>
        <v>1.0981267249985318E-2</v>
      </c>
      <c r="H37" s="32">
        <f t="shared" si="16"/>
        <v>1.0324504925649226E-2</v>
      </c>
      <c r="I37" s="32">
        <f t="shared" si="17"/>
        <v>9.9547511312217188E-3</v>
      </c>
      <c r="J37" s="32">
        <f t="shared" si="18"/>
        <v>9.2635839950179037E-3</v>
      </c>
      <c r="K37" s="32">
        <f t="shared" si="19"/>
        <v>9.5003383857086305E-3</v>
      </c>
    </row>
    <row r="38" spans="1:11" ht="13.2">
      <c r="A38" s="20" t="s">
        <v>69</v>
      </c>
      <c r="B38" s="23">
        <v>1200</v>
      </c>
      <c r="C38" s="23">
        <v>1107</v>
      </c>
      <c r="D38" s="23">
        <v>1115</v>
      </c>
      <c r="E38" s="23">
        <v>1118</v>
      </c>
      <c r="F38" s="23">
        <v>1144</v>
      </c>
      <c r="G38" s="32">
        <f t="shared" si="15"/>
        <v>1.7617006283398906E-2</v>
      </c>
      <c r="H38" s="32">
        <f t="shared" si="16"/>
        <v>1.5873926323185683E-2</v>
      </c>
      <c r="I38" s="32">
        <f t="shared" si="17"/>
        <v>1.5523842673163941E-2</v>
      </c>
      <c r="J38" s="32">
        <f t="shared" si="18"/>
        <v>1.4505163734495822E-2</v>
      </c>
      <c r="K38" s="32">
        <f t="shared" si="19"/>
        <v>1.4608047195229399E-2</v>
      </c>
    </row>
    <row r="39" spans="1:11" ht="13.2">
      <c r="A39" s="20" t="s">
        <v>73</v>
      </c>
      <c r="B39" s="23">
        <v>181</v>
      </c>
      <c r="C39" s="23">
        <v>175</v>
      </c>
      <c r="D39" s="23">
        <v>199</v>
      </c>
      <c r="E39" s="23">
        <v>279</v>
      </c>
      <c r="F39" s="23">
        <v>343</v>
      </c>
      <c r="G39" s="32">
        <f t="shared" si="15"/>
        <v>2.6572317810793352E-3</v>
      </c>
      <c r="H39" s="32">
        <f t="shared" si="16"/>
        <v>2.5094282805397422E-3</v>
      </c>
      <c r="I39" s="32">
        <f t="shared" si="17"/>
        <v>2.7706230421162548E-3</v>
      </c>
      <c r="J39" s="32">
        <f t="shared" si="18"/>
        <v>3.6198038299859879E-3</v>
      </c>
      <c r="K39" s="32">
        <f t="shared" si="19"/>
        <v>4.3798603041640596E-3</v>
      </c>
    </row>
    <row r="40" spans="1:11" ht="13.2">
      <c r="A40" s="20" t="s">
        <v>78</v>
      </c>
      <c r="B40" s="23">
        <v>54476</v>
      </c>
      <c r="C40" s="23">
        <v>55090</v>
      </c>
      <c r="D40" s="23">
        <v>55776</v>
      </c>
      <c r="E40" s="23">
        <v>56780</v>
      </c>
      <c r="F40" s="23">
        <v>57414</v>
      </c>
      <c r="G40" s="32">
        <f t="shared" si="15"/>
        <v>0.79975336191203239</v>
      </c>
      <c r="H40" s="32">
        <f t="shared" si="16"/>
        <v>0.78996802271391087</v>
      </c>
      <c r="I40" s="32">
        <f t="shared" si="17"/>
        <v>0.77655412460842321</v>
      </c>
      <c r="J40" s="32">
        <f t="shared" si="18"/>
        <v>0.73667548912761427</v>
      </c>
      <c r="K40" s="32">
        <f t="shared" si="19"/>
        <v>0.73313498397456356</v>
      </c>
    </row>
    <row r="41" spans="1:11" ht="13.2">
      <c r="A41" s="30" t="s">
        <v>188</v>
      </c>
      <c r="B41" s="27"/>
      <c r="C41" s="27"/>
      <c r="D41" s="27"/>
      <c r="E41" s="27"/>
      <c r="F41" s="27"/>
      <c r="G41" s="32"/>
      <c r="H41" s="32"/>
      <c r="I41" s="32"/>
      <c r="J41" s="32"/>
      <c r="K41" s="32"/>
    </row>
    <row r="42" spans="1:11" ht="13.2">
      <c r="A42" s="20" t="s">
        <v>80</v>
      </c>
      <c r="B42" s="23">
        <v>3383</v>
      </c>
      <c r="C42" s="23">
        <v>3890</v>
      </c>
      <c r="D42" s="23">
        <v>4031</v>
      </c>
      <c r="E42" s="23">
        <v>3812</v>
      </c>
      <c r="F42" s="23">
        <v>4161</v>
      </c>
      <c r="G42" s="32">
        <f t="shared" ref="G42:G52" si="20">B42/$B$52</f>
        <v>4.9665276880615422E-2</v>
      </c>
      <c r="H42" s="32">
        <f t="shared" ref="H42:H52" si="21">C42/$C$52</f>
        <v>5.5781005778854843E-2</v>
      </c>
      <c r="I42" s="32">
        <f t="shared" ref="I42:I52" si="22">D42/$D$52</f>
        <v>5.6122520013922726E-2</v>
      </c>
      <c r="J42" s="32">
        <f t="shared" ref="J42:J52" si="23">E42/$E$52</f>
        <v>4.94576781358659E-2</v>
      </c>
      <c r="K42" s="32">
        <f t="shared" ref="K42:K52" si="24">F42/$F$52</f>
        <v>5.3132940891039801E-2</v>
      </c>
    </row>
    <row r="43" spans="1:11" ht="13.2">
      <c r="A43" s="20" t="s">
        <v>189</v>
      </c>
      <c r="B43" s="23">
        <v>2683</v>
      </c>
      <c r="C43" s="23">
        <v>3510</v>
      </c>
      <c r="D43" s="23">
        <v>2811</v>
      </c>
      <c r="E43" s="23">
        <v>4510</v>
      </c>
      <c r="F43" s="23">
        <v>3614</v>
      </c>
      <c r="G43" s="32">
        <f t="shared" si="20"/>
        <v>3.938868988196606E-2</v>
      </c>
      <c r="H43" s="32">
        <f t="shared" si="21"/>
        <v>5.033196151253997E-2</v>
      </c>
      <c r="I43" s="32">
        <f t="shared" si="22"/>
        <v>3.9136790810998953E-2</v>
      </c>
      <c r="J43" s="32">
        <f t="shared" si="23"/>
        <v>5.8513674814468834E-2</v>
      </c>
      <c r="K43" s="32">
        <f t="shared" si="24"/>
        <v>4.6148149094020152E-2</v>
      </c>
    </row>
    <row r="44" spans="1:11" ht="13.2">
      <c r="A44" s="20" t="s">
        <v>185</v>
      </c>
      <c r="B44" s="23">
        <v>34</v>
      </c>
      <c r="C44" s="23">
        <v>34</v>
      </c>
      <c r="D44" s="23">
        <v>35</v>
      </c>
      <c r="E44" s="23">
        <v>37</v>
      </c>
      <c r="F44" s="23">
        <v>45</v>
      </c>
      <c r="G44" s="32">
        <f t="shared" si="20"/>
        <v>4.9914851136296904E-4</v>
      </c>
      <c r="H44" s="32">
        <f t="shared" si="21"/>
        <v>4.8754606593343563E-4</v>
      </c>
      <c r="I44" s="32">
        <f t="shared" si="22"/>
        <v>4.8729550991994433E-4</v>
      </c>
      <c r="J44" s="32">
        <f t="shared" si="23"/>
        <v>4.800456692096113E-4</v>
      </c>
      <c r="K44" s="32">
        <f t="shared" si="24"/>
        <v>5.7461724107108652E-4</v>
      </c>
    </row>
    <row r="45" spans="1:11" ht="13.2">
      <c r="A45" s="20" t="s">
        <v>190</v>
      </c>
      <c r="B45" s="23">
        <v>1646</v>
      </c>
      <c r="C45" s="23">
        <v>1932</v>
      </c>
      <c r="D45" s="23">
        <v>2735</v>
      </c>
      <c r="E45" s="23">
        <v>2690</v>
      </c>
      <c r="F45" s="23">
        <v>3450</v>
      </c>
      <c r="G45" s="32">
        <f t="shared" si="20"/>
        <v>2.4164660285395503E-2</v>
      </c>
      <c r="H45" s="32">
        <f t="shared" si="21"/>
        <v>2.7704088217158754E-2</v>
      </c>
      <c r="I45" s="32">
        <f t="shared" si="22"/>
        <v>3.8078663418029936E-2</v>
      </c>
      <c r="J45" s="32">
        <f t="shared" si="23"/>
        <v>3.4900617572266333E-2</v>
      </c>
      <c r="K45" s="32">
        <f t="shared" si="24"/>
        <v>4.4053988482116634E-2</v>
      </c>
    </row>
    <row r="46" spans="1:11" ht="13.2">
      <c r="A46" s="20" t="s">
        <v>89</v>
      </c>
      <c r="B46" s="23">
        <v>1740</v>
      </c>
      <c r="C46" s="23">
        <v>988</v>
      </c>
      <c r="D46" s="23">
        <v>586</v>
      </c>
      <c r="E46" s="23">
        <v>609</v>
      </c>
      <c r="F46" s="23">
        <v>5947</v>
      </c>
      <c r="G46" s="32">
        <f t="shared" si="20"/>
        <v>2.5544659110928417E-2</v>
      </c>
      <c r="H46" s="32">
        <f t="shared" si="21"/>
        <v>1.4167515092418658E-2</v>
      </c>
      <c r="I46" s="32">
        <f t="shared" si="22"/>
        <v>8.1587191089453528E-3</v>
      </c>
      <c r="J46" s="32">
        <f t="shared" si="23"/>
        <v>7.9012922310446824E-3</v>
      </c>
      <c r="K46" s="32">
        <f t="shared" si="24"/>
        <v>7.5938860725550034E-2</v>
      </c>
    </row>
    <row r="47" spans="1:11" ht="13.2">
      <c r="A47" s="20" t="s">
        <v>90</v>
      </c>
      <c r="B47" s="23">
        <v>2581</v>
      </c>
      <c r="C47" s="23">
        <v>2630</v>
      </c>
      <c r="D47" s="23">
        <v>3836</v>
      </c>
      <c r="E47" s="23">
        <v>6607</v>
      </c>
      <c r="F47" s="23">
        <v>1346</v>
      </c>
      <c r="G47" s="32">
        <f t="shared" si="20"/>
        <v>3.7891244347877148E-2</v>
      </c>
      <c r="H47" s="32">
        <f t="shared" si="21"/>
        <v>3.7713122158968694E-2</v>
      </c>
      <c r="I47" s="32">
        <f t="shared" si="22"/>
        <v>5.3407587887225896E-2</v>
      </c>
      <c r="J47" s="32">
        <f t="shared" si="23"/>
        <v>8.5720587472105453E-2</v>
      </c>
      <c r="K47" s="32">
        <f t="shared" si="24"/>
        <v>1.7187440144037388E-2</v>
      </c>
    </row>
    <row r="48" spans="1:11" ht="13.2">
      <c r="A48" s="20" t="s">
        <v>187</v>
      </c>
      <c r="B48" s="23">
        <v>1116</v>
      </c>
      <c r="C48" s="23">
        <v>1070</v>
      </c>
      <c r="D48" s="23">
        <v>1391</v>
      </c>
      <c r="E48" s="23">
        <v>1416</v>
      </c>
      <c r="F48" s="23">
        <v>1469</v>
      </c>
      <c r="G48" s="32">
        <f t="shared" si="20"/>
        <v>1.6383815843560984E-2</v>
      </c>
      <c r="H48" s="32">
        <f t="shared" si="21"/>
        <v>1.5343361486728709E-2</v>
      </c>
      <c r="I48" s="32">
        <f t="shared" si="22"/>
        <v>1.9366515837104071E-2</v>
      </c>
      <c r="J48" s="32">
        <f t="shared" si="23"/>
        <v>1.8371477502724585E-2</v>
      </c>
      <c r="K48" s="32">
        <f t="shared" si="24"/>
        <v>1.8758060602965025E-2</v>
      </c>
    </row>
    <row r="49" spans="1:11" ht="13.2">
      <c r="A49" s="20" t="s">
        <v>93</v>
      </c>
      <c r="B49" s="23">
        <v>438</v>
      </c>
      <c r="C49" s="23">
        <v>580</v>
      </c>
      <c r="D49" s="23">
        <v>612</v>
      </c>
      <c r="E49" s="23">
        <v>603</v>
      </c>
      <c r="F49" s="23">
        <v>844</v>
      </c>
      <c r="G49" s="32">
        <f t="shared" si="20"/>
        <v>6.4302072934406011E-3</v>
      </c>
      <c r="H49" s="32">
        <f t="shared" si="21"/>
        <v>8.3169623012174319E-3</v>
      </c>
      <c r="I49" s="32">
        <f t="shared" si="22"/>
        <v>8.5207100591715972E-3</v>
      </c>
      <c r="J49" s="32">
        <f t="shared" si="23"/>
        <v>7.8234469873890711E-3</v>
      </c>
      <c r="K49" s="32">
        <f t="shared" si="24"/>
        <v>1.0777265588088824E-2</v>
      </c>
    </row>
    <row r="50" spans="1:11" ht="13.2">
      <c r="A50" s="20" t="s">
        <v>95</v>
      </c>
      <c r="B50" s="23">
        <v>17</v>
      </c>
      <c r="C50" s="23">
        <v>13</v>
      </c>
      <c r="D50" s="23">
        <v>12</v>
      </c>
      <c r="E50" s="23">
        <v>12</v>
      </c>
      <c r="F50" s="23">
        <v>23</v>
      </c>
      <c r="G50" s="32">
        <f t="shared" si="20"/>
        <v>2.4957425568148452E-4</v>
      </c>
      <c r="H50" s="32">
        <f t="shared" si="21"/>
        <v>1.8641467226866655E-4</v>
      </c>
      <c r="I50" s="32">
        <f t="shared" si="22"/>
        <v>1.6707274625826662E-4</v>
      </c>
      <c r="J50" s="32">
        <f t="shared" si="23"/>
        <v>1.5569048731122528E-4</v>
      </c>
      <c r="K50" s="32">
        <f t="shared" si="24"/>
        <v>2.9369325654744424E-4</v>
      </c>
    </row>
    <row r="51" spans="1:11" ht="13.2">
      <c r="A51" s="42" t="s">
        <v>205</v>
      </c>
      <c r="B51" s="43">
        <v>13640</v>
      </c>
      <c r="C51" s="43">
        <v>14647</v>
      </c>
      <c r="D51" s="43">
        <v>16049</v>
      </c>
      <c r="E51" s="43">
        <v>20296</v>
      </c>
      <c r="F51" s="43">
        <v>20899</v>
      </c>
      <c r="G51" s="44">
        <f t="shared" si="20"/>
        <v>0.20024663808796758</v>
      </c>
      <c r="H51" s="44">
        <f t="shared" si="21"/>
        <v>0.21003197728608916</v>
      </c>
      <c r="I51" s="44">
        <f t="shared" si="22"/>
        <v>0.22344587539157676</v>
      </c>
      <c r="J51" s="44">
        <f t="shared" si="23"/>
        <v>0.26332451087238568</v>
      </c>
      <c r="K51" s="44">
        <f t="shared" si="24"/>
        <v>0.26686501602543639</v>
      </c>
    </row>
    <row r="52" spans="1:11" ht="13.2">
      <c r="A52" s="62" t="s">
        <v>209</v>
      </c>
      <c r="B52" s="63">
        <v>68116</v>
      </c>
      <c r="C52" s="63">
        <v>69737</v>
      </c>
      <c r="D52" s="63">
        <v>71825</v>
      </c>
      <c r="E52" s="63">
        <v>77076</v>
      </c>
      <c r="F52" s="63">
        <v>78313</v>
      </c>
      <c r="G52" s="85">
        <f t="shared" si="20"/>
        <v>1</v>
      </c>
      <c r="H52" s="85">
        <f t="shared" si="21"/>
        <v>1</v>
      </c>
      <c r="I52" s="85">
        <f t="shared" si="22"/>
        <v>1</v>
      </c>
      <c r="J52" s="85">
        <f t="shared" si="23"/>
        <v>1</v>
      </c>
      <c r="K52" s="85">
        <f t="shared" si="24"/>
        <v>1</v>
      </c>
    </row>
    <row r="56" spans="1:11" ht="13.8">
      <c r="A56" s="252" t="s">
        <v>103</v>
      </c>
      <c r="B56" s="247"/>
      <c r="C56" s="248"/>
      <c r="D56" s="55"/>
      <c r="E56" s="55"/>
      <c r="F56" s="55"/>
      <c r="G56" s="55"/>
    </row>
    <row r="57" spans="1:11" ht="13.2">
      <c r="A57" s="68"/>
      <c r="C57" s="69"/>
    </row>
    <row r="58" spans="1:11" ht="13.2">
      <c r="A58" s="68"/>
      <c r="C58" s="69"/>
    </row>
    <row r="59" spans="1:11" ht="13.2">
      <c r="A59" s="261" t="s">
        <v>221</v>
      </c>
      <c r="B59" s="250"/>
      <c r="C59" s="251"/>
      <c r="J59" s="5"/>
    </row>
    <row r="60" spans="1:11" ht="15.6">
      <c r="A60" s="262" t="s">
        <v>222</v>
      </c>
      <c r="B60" s="250"/>
      <c r="C60" s="251"/>
      <c r="D60" s="11"/>
      <c r="E60" s="11"/>
      <c r="F60" s="11"/>
      <c r="G60" s="11"/>
      <c r="H60" s="11"/>
      <c r="I60" s="11"/>
      <c r="J60" s="11"/>
      <c r="K60" s="11"/>
    </row>
    <row r="61" spans="1:11" ht="13.8">
      <c r="A61" s="262" t="s">
        <v>226</v>
      </c>
      <c r="B61" s="250"/>
      <c r="C61" s="251"/>
      <c r="D61" s="54"/>
      <c r="E61" s="54"/>
      <c r="F61" s="54"/>
      <c r="G61" s="263"/>
      <c r="H61" s="250"/>
      <c r="I61" s="250"/>
      <c r="J61" s="250"/>
      <c r="K61" s="250"/>
    </row>
    <row r="62" spans="1:11" ht="13.2">
      <c r="A62" s="262" t="s">
        <v>229</v>
      </c>
      <c r="B62" s="250"/>
      <c r="C62" s="251"/>
      <c r="D62" s="5"/>
      <c r="E62" s="5"/>
      <c r="F62" s="5"/>
      <c r="G62" s="5"/>
      <c r="H62" s="5"/>
      <c r="I62" s="5"/>
      <c r="J62" s="5"/>
      <c r="K62" s="5"/>
    </row>
    <row r="63" spans="1:11" ht="13.2">
      <c r="A63" s="262" t="s">
        <v>231</v>
      </c>
      <c r="B63" s="250"/>
      <c r="C63" s="251"/>
      <c r="D63" s="5"/>
      <c r="E63" s="5"/>
      <c r="F63" s="5"/>
      <c r="G63" s="5"/>
      <c r="H63" s="5"/>
      <c r="I63" s="5"/>
      <c r="J63" s="5"/>
      <c r="K63" s="5"/>
    </row>
    <row r="64" spans="1:11" ht="13.2">
      <c r="A64" s="262" t="s">
        <v>235</v>
      </c>
      <c r="B64" s="250"/>
      <c r="C64" s="251"/>
    </row>
    <row r="65" spans="1:12" ht="13.2">
      <c r="A65" s="262" t="s">
        <v>236</v>
      </c>
      <c r="B65" s="250"/>
      <c r="C65" s="251"/>
      <c r="D65" s="29"/>
      <c r="E65" s="29"/>
      <c r="F65" s="29"/>
      <c r="G65" s="109"/>
      <c r="H65" s="109"/>
      <c r="I65" s="109"/>
      <c r="J65" s="109"/>
      <c r="K65" s="109"/>
    </row>
    <row r="66" spans="1:12" ht="13.2">
      <c r="A66" s="262" t="s">
        <v>240</v>
      </c>
      <c r="B66" s="250"/>
      <c r="C66" s="251"/>
      <c r="D66" s="29"/>
      <c r="E66" s="29"/>
      <c r="F66" s="29"/>
      <c r="G66" s="109"/>
      <c r="H66" s="109"/>
      <c r="I66" s="109"/>
      <c r="J66" s="109"/>
      <c r="K66" s="109"/>
    </row>
    <row r="67" spans="1:12" ht="13.2">
      <c r="A67" s="262" t="s">
        <v>241</v>
      </c>
      <c r="B67" s="250"/>
      <c r="C67" s="251"/>
      <c r="D67" s="5"/>
      <c r="E67" s="5"/>
      <c r="F67" s="5"/>
      <c r="G67" s="5"/>
      <c r="H67" s="5"/>
      <c r="I67" s="5"/>
      <c r="J67" s="5"/>
      <c r="K67" s="5"/>
    </row>
    <row r="68" spans="1:12" ht="13.2">
      <c r="A68" s="76"/>
      <c r="B68" s="77"/>
      <c r="C68" s="78"/>
      <c r="G68" s="109"/>
    </row>
    <row r="69" spans="1:12" ht="13.2">
      <c r="A69" s="5"/>
      <c r="G69" s="109"/>
    </row>
    <row r="70" spans="1:12" ht="13.2">
      <c r="A70" s="29"/>
      <c r="B70" s="29"/>
      <c r="C70" s="29"/>
      <c r="D70" s="29"/>
      <c r="E70" s="29"/>
      <c r="F70" s="29"/>
      <c r="G70" s="109"/>
      <c r="H70" s="109"/>
      <c r="I70" s="109"/>
      <c r="J70" s="109"/>
      <c r="K70" s="109"/>
    </row>
    <row r="71" spans="1:12" ht="13.2">
      <c r="A71" s="29"/>
      <c r="B71" s="29"/>
      <c r="C71" s="29"/>
      <c r="D71" s="29"/>
      <c r="E71" s="29"/>
      <c r="F71" s="29"/>
      <c r="G71" s="109"/>
      <c r="H71" s="109"/>
      <c r="I71" s="109"/>
      <c r="J71" s="109"/>
      <c r="K71" s="109"/>
    </row>
    <row r="72" spans="1:12" ht="15.6">
      <c r="A72" s="11"/>
      <c r="B72" s="11"/>
      <c r="C72" s="11"/>
      <c r="D72" s="11"/>
      <c r="E72" s="11"/>
      <c r="F72" s="11"/>
      <c r="G72" s="11"/>
      <c r="H72" s="11"/>
      <c r="I72" s="11"/>
      <c r="J72" s="11"/>
      <c r="K72" s="11"/>
    </row>
    <row r="73" spans="1:12" ht="13.8">
      <c r="A73" s="113"/>
      <c r="B73" s="54"/>
      <c r="C73" s="54"/>
      <c r="D73" s="54"/>
      <c r="E73" s="54"/>
      <c r="F73" s="54"/>
      <c r="G73" s="54"/>
      <c r="H73" s="54"/>
      <c r="I73" s="54"/>
      <c r="J73" s="114" t="s">
        <v>0</v>
      </c>
      <c r="K73" s="54"/>
      <c r="L73" s="109"/>
    </row>
    <row r="74" spans="1:12" ht="15.6">
      <c r="A74" s="264" t="s">
        <v>244</v>
      </c>
      <c r="B74" s="247"/>
      <c r="C74" s="247"/>
      <c r="D74" s="247"/>
      <c r="E74" s="247"/>
      <c r="F74" s="247"/>
      <c r="G74" s="247"/>
      <c r="H74" s="247"/>
      <c r="I74" s="247"/>
      <c r="J74" s="247"/>
      <c r="K74" s="248"/>
      <c r="L74" s="109"/>
    </row>
    <row r="75" spans="1:12" ht="13.8">
      <c r="A75" s="58" t="s">
        <v>4</v>
      </c>
      <c r="B75" s="260" t="s">
        <v>61</v>
      </c>
      <c r="C75" s="247"/>
      <c r="D75" s="247"/>
      <c r="E75" s="247"/>
      <c r="F75" s="248"/>
      <c r="G75" s="260" t="s">
        <v>245</v>
      </c>
      <c r="H75" s="247"/>
      <c r="I75" s="247"/>
      <c r="J75" s="247"/>
      <c r="K75" s="248"/>
      <c r="L75" s="109"/>
    </row>
    <row r="76" spans="1:12" ht="13.2">
      <c r="A76" s="59"/>
      <c r="B76" s="61" t="s">
        <v>66</v>
      </c>
      <c r="C76" s="61" t="s">
        <v>70</v>
      </c>
      <c r="D76" s="61" t="s">
        <v>72</v>
      </c>
      <c r="E76" s="61" t="s">
        <v>74</v>
      </c>
      <c r="F76" s="61" t="s">
        <v>76</v>
      </c>
      <c r="G76" s="61" t="s">
        <v>246</v>
      </c>
      <c r="H76" s="61" t="s">
        <v>247</v>
      </c>
      <c r="I76" s="61" t="s">
        <v>248</v>
      </c>
      <c r="J76" s="61" t="s">
        <v>249</v>
      </c>
      <c r="K76" s="61" t="s">
        <v>250</v>
      </c>
      <c r="L76" s="109"/>
    </row>
    <row r="77" spans="1:12" ht="13.2">
      <c r="A77" s="30" t="s">
        <v>121</v>
      </c>
      <c r="B77" s="27"/>
      <c r="C77" s="27"/>
      <c r="D77" s="27"/>
      <c r="E77" s="27"/>
      <c r="F77" s="27"/>
      <c r="G77" s="27"/>
      <c r="H77" s="27"/>
      <c r="I77" s="27"/>
      <c r="J77" s="27"/>
      <c r="K77" s="27"/>
      <c r="L77" s="109"/>
    </row>
    <row r="78" spans="1:12" ht="13.2">
      <c r="A78" s="26" t="s">
        <v>251</v>
      </c>
      <c r="B78" s="26">
        <v>45996</v>
      </c>
      <c r="C78" s="26">
        <v>51193</v>
      </c>
      <c r="D78" s="26">
        <v>59144</v>
      </c>
      <c r="E78" s="26">
        <v>60469</v>
      </c>
      <c r="F78" s="26">
        <v>61469</v>
      </c>
      <c r="G78" s="118">
        <v>0.98899999999999999</v>
      </c>
      <c r="H78" s="118">
        <v>0.99239999999999995</v>
      </c>
      <c r="I78" s="118">
        <v>0.98929999999999996</v>
      </c>
      <c r="J78" s="118">
        <v>0.98419999999999996</v>
      </c>
      <c r="K78" s="118">
        <v>0.98119999999999996</v>
      </c>
      <c r="L78" s="109"/>
    </row>
    <row r="79" spans="1:12" ht="13.2">
      <c r="A79" s="26" t="s">
        <v>252</v>
      </c>
      <c r="B79" s="26">
        <v>513</v>
      </c>
      <c r="C79" s="26">
        <v>393</v>
      </c>
      <c r="D79" s="26">
        <v>640</v>
      </c>
      <c r="E79" s="26">
        <v>973</v>
      </c>
      <c r="F79" s="26">
        <v>1177</v>
      </c>
      <c r="G79" s="118">
        <v>1.0999999999999999E-2</v>
      </c>
      <c r="H79" s="118">
        <v>7.6E-3</v>
      </c>
      <c r="I79" s="118">
        <v>1.0699999999999999E-2</v>
      </c>
      <c r="J79" s="118">
        <v>1.5800000000000002E-2</v>
      </c>
      <c r="K79" s="118">
        <v>1.8800000000000001E-2</v>
      </c>
    </row>
    <row r="80" spans="1:12" ht="13.2">
      <c r="A80" s="30" t="s">
        <v>126</v>
      </c>
      <c r="B80" s="31">
        <f>SUM(B78:B79)</f>
        <v>46509</v>
      </c>
      <c r="C80" s="30">
        <v>51586</v>
      </c>
      <c r="D80" s="30">
        <v>59784</v>
      </c>
      <c r="E80" s="30">
        <v>61442</v>
      </c>
      <c r="F80" s="30">
        <v>62646</v>
      </c>
      <c r="G80" s="30">
        <v>100</v>
      </c>
      <c r="H80" s="30">
        <v>100</v>
      </c>
      <c r="I80" s="30">
        <v>100</v>
      </c>
      <c r="J80" s="30">
        <v>100</v>
      </c>
      <c r="K80" s="30">
        <v>100</v>
      </c>
    </row>
    <row r="81" spans="1:11" ht="13.2">
      <c r="A81" s="27"/>
      <c r="B81" s="27"/>
      <c r="C81" s="27"/>
      <c r="D81" s="27"/>
      <c r="E81" s="27"/>
      <c r="F81" s="27"/>
      <c r="G81" s="118"/>
      <c r="H81" s="27"/>
      <c r="I81" s="27"/>
      <c r="J81" s="27"/>
      <c r="K81" s="27"/>
    </row>
    <row r="82" spans="1:11" ht="13.2">
      <c r="A82" s="30" t="s">
        <v>127</v>
      </c>
      <c r="B82" s="27"/>
      <c r="C82" s="27"/>
      <c r="D82" s="27"/>
      <c r="E82" s="27"/>
      <c r="F82" s="27"/>
      <c r="G82" s="118"/>
      <c r="H82" s="27"/>
      <c r="I82" s="27"/>
      <c r="J82" s="27"/>
      <c r="K82" s="27"/>
    </row>
    <row r="83" spans="1:11" ht="13.2">
      <c r="A83" s="26" t="s">
        <v>27</v>
      </c>
      <c r="B83" s="26">
        <v>14951</v>
      </c>
      <c r="C83" s="26">
        <v>15869</v>
      </c>
      <c r="D83" s="26">
        <v>19229</v>
      </c>
      <c r="E83" s="26">
        <v>17791</v>
      </c>
      <c r="F83" s="26">
        <v>17698</v>
      </c>
      <c r="G83" s="118">
        <v>0.32150000000000001</v>
      </c>
      <c r="H83" s="118">
        <v>0.30759999999999998</v>
      </c>
      <c r="I83" s="118">
        <v>0.3216</v>
      </c>
      <c r="J83" s="118">
        <v>0.28960000000000002</v>
      </c>
      <c r="K83" s="118">
        <v>0.28249999999999997</v>
      </c>
    </row>
    <row r="84" spans="1:11" ht="13.2">
      <c r="A84" s="26" t="s">
        <v>28</v>
      </c>
      <c r="B84" s="26">
        <v>7117</v>
      </c>
      <c r="C84" s="26">
        <v>9274</v>
      </c>
      <c r="D84" s="26">
        <v>11968</v>
      </c>
      <c r="E84" s="26">
        <v>11544</v>
      </c>
      <c r="F84" s="26">
        <v>12584</v>
      </c>
      <c r="G84" s="118">
        <v>0.153</v>
      </c>
      <c r="H84" s="118">
        <v>0.17979999999999999</v>
      </c>
      <c r="I84" s="118">
        <v>0.20019999999999999</v>
      </c>
      <c r="J84" s="118">
        <v>0.18790000000000001</v>
      </c>
      <c r="K84" s="118">
        <v>0.2009</v>
      </c>
    </row>
    <row r="85" spans="1:11" ht="13.2">
      <c r="A85" s="26" t="s">
        <v>30</v>
      </c>
      <c r="B85" s="26">
        <v>-391</v>
      </c>
      <c r="C85" s="26">
        <v>-19</v>
      </c>
      <c r="D85" s="26">
        <v>-53</v>
      </c>
      <c r="E85" s="26">
        <v>-8</v>
      </c>
      <c r="F85" s="26">
        <v>-106</v>
      </c>
      <c r="G85" s="118">
        <v>-8.3999999999999995E-3</v>
      </c>
      <c r="H85" s="118">
        <v>-4.0000000000000002E-4</v>
      </c>
      <c r="I85" s="118">
        <v>-8.9999999999999998E-4</v>
      </c>
      <c r="J85" s="118">
        <v>-1E-4</v>
      </c>
      <c r="K85" s="118">
        <v>-1.6999999999999999E-3</v>
      </c>
    </row>
    <row r="86" spans="1:11" ht="13.2">
      <c r="A86" s="26" t="s">
        <v>32</v>
      </c>
      <c r="B86" s="26">
        <v>2229</v>
      </c>
      <c r="C86" s="26">
        <v>2399</v>
      </c>
      <c r="D86" s="26">
        <v>2665</v>
      </c>
      <c r="E86" s="26">
        <v>2782</v>
      </c>
      <c r="F86" s="26">
        <v>2840</v>
      </c>
      <c r="G86" s="118">
        <v>4.7899999999999998E-2</v>
      </c>
      <c r="H86" s="118">
        <v>4.65E-2</v>
      </c>
      <c r="I86" s="118">
        <v>4.4600000000000001E-2</v>
      </c>
      <c r="J86" s="118">
        <v>4.53E-2</v>
      </c>
      <c r="K86" s="118">
        <v>4.53E-2</v>
      </c>
    </row>
    <row r="87" spans="1:11" ht="13.2">
      <c r="A87" s="26" t="s">
        <v>33</v>
      </c>
      <c r="B87" s="26">
        <v>108</v>
      </c>
      <c r="C87" s="26">
        <v>98</v>
      </c>
      <c r="D87" s="26">
        <v>101</v>
      </c>
      <c r="E87" s="26">
        <v>302</v>
      </c>
      <c r="F87" s="26">
        <v>364</v>
      </c>
      <c r="G87" s="118">
        <v>2.3E-3</v>
      </c>
      <c r="H87" s="118">
        <v>1.9E-3</v>
      </c>
      <c r="I87" s="118">
        <v>1.6999999999999999E-3</v>
      </c>
      <c r="J87" s="118">
        <v>4.8999999999999998E-3</v>
      </c>
      <c r="K87" s="118">
        <v>5.7999999999999996E-3</v>
      </c>
    </row>
    <row r="88" spans="1:11" ht="13.2">
      <c r="A88" s="26" t="s">
        <v>253</v>
      </c>
      <c r="B88" s="26">
        <v>1012</v>
      </c>
      <c r="C88" s="26">
        <v>1025</v>
      </c>
      <c r="D88" s="26">
        <v>1030</v>
      </c>
      <c r="E88" s="26">
        <v>1097</v>
      </c>
      <c r="F88" s="26">
        <v>1224</v>
      </c>
      <c r="G88" s="118">
        <v>2.18E-2</v>
      </c>
      <c r="H88" s="118">
        <v>1.9900000000000001E-2</v>
      </c>
      <c r="I88" s="118">
        <v>1.72E-2</v>
      </c>
      <c r="J88" s="118">
        <v>1.7899999999999999E-2</v>
      </c>
      <c r="K88" s="118">
        <v>1.95E-2</v>
      </c>
    </row>
    <row r="89" spans="1:11" ht="13.2">
      <c r="A89" s="26" t="s">
        <v>35</v>
      </c>
      <c r="B89" s="26">
        <v>10766</v>
      </c>
      <c r="C89" s="26">
        <v>11167</v>
      </c>
      <c r="D89" s="26">
        <v>11703</v>
      </c>
      <c r="E89" s="26">
        <v>14170</v>
      </c>
      <c r="F89" s="26">
        <v>14164</v>
      </c>
      <c r="G89" s="118">
        <v>0.23150000000000001</v>
      </c>
      <c r="H89" s="118">
        <v>0.2165</v>
      </c>
      <c r="I89" s="118">
        <v>0.1958</v>
      </c>
      <c r="J89" s="118">
        <v>0.2306</v>
      </c>
      <c r="K89" s="118">
        <v>0.2261</v>
      </c>
    </row>
    <row r="90" spans="1:11" ht="13.2">
      <c r="A90" s="30" t="s">
        <v>147</v>
      </c>
      <c r="B90" s="31">
        <f t="shared" ref="B90:F90" si="25">SUM(B83:B89)</f>
        <v>35792</v>
      </c>
      <c r="C90" s="31">
        <f t="shared" si="25"/>
        <v>39813</v>
      </c>
      <c r="D90" s="31">
        <f t="shared" si="25"/>
        <v>46643</v>
      </c>
      <c r="E90" s="31">
        <f t="shared" si="25"/>
        <v>47678</v>
      </c>
      <c r="F90" s="31">
        <f t="shared" si="25"/>
        <v>48768</v>
      </c>
      <c r="G90" s="121">
        <v>0.76959999999999995</v>
      </c>
      <c r="H90" s="121">
        <v>0.77180000000000004</v>
      </c>
      <c r="I90" s="121">
        <v>0.7802</v>
      </c>
      <c r="J90" s="121">
        <v>0.77600000000000002</v>
      </c>
      <c r="K90" s="121">
        <v>0.77849999999999997</v>
      </c>
    </row>
    <row r="91" spans="1:11" ht="13.2">
      <c r="A91" s="38" t="s">
        <v>254</v>
      </c>
      <c r="B91" s="47">
        <v>10490</v>
      </c>
      <c r="C91" s="47">
        <v>11739</v>
      </c>
      <c r="D91" s="47">
        <v>13141</v>
      </c>
      <c r="E91" s="47">
        <v>13764</v>
      </c>
      <c r="F91" s="47">
        <v>13878</v>
      </c>
      <c r="G91" s="123">
        <v>0.22550000000000001</v>
      </c>
      <c r="H91" s="123">
        <v>0.2276</v>
      </c>
      <c r="I91" s="123">
        <v>0.21879999999999999</v>
      </c>
      <c r="J91" s="123">
        <v>0.22259999999999999</v>
      </c>
      <c r="K91" s="123">
        <v>0.2283</v>
      </c>
    </row>
    <row r="92" spans="1:11" ht="13.2">
      <c r="A92" s="80" t="s">
        <v>255</v>
      </c>
      <c r="B92" s="80">
        <v>7954</v>
      </c>
      <c r="C92" s="80">
        <v>8818</v>
      </c>
      <c r="D92" s="80">
        <v>9962</v>
      </c>
      <c r="E92" s="80">
        <v>10114</v>
      </c>
      <c r="F92" s="80">
        <v>10644</v>
      </c>
      <c r="G92" s="124">
        <v>0.17100000000000001</v>
      </c>
      <c r="H92" s="124">
        <v>0.1709</v>
      </c>
      <c r="I92" s="124">
        <v>0.1666</v>
      </c>
      <c r="J92" s="124">
        <v>0.1646</v>
      </c>
      <c r="K92" s="124">
        <v>0.1699</v>
      </c>
    </row>
    <row r="93" spans="1:11" ht="13.8">
      <c r="A93" s="113"/>
      <c r="B93" s="54"/>
      <c r="C93" s="54"/>
      <c r="D93" s="54"/>
      <c r="E93" s="54"/>
      <c r="F93" s="54"/>
      <c r="G93" s="54"/>
      <c r="H93" s="54"/>
      <c r="I93" s="54"/>
      <c r="J93" s="54"/>
      <c r="K93" s="54"/>
    </row>
    <row r="94" spans="1:11" ht="13.2">
      <c r="B94" s="5"/>
      <c r="C94" s="5"/>
      <c r="D94" s="5"/>
      <c r="E94" s="5"/>
      <c r="F94" s="5"/>
      <c r="G94" s="5"/>
      <c r="H94" s="5"/>
      <c r="I94" s="5"/>
      <c r="J94" s="5"/>
      <c r="K94" s="5"/>
    </row>
    <row r="95" spans="1:11" ht="13.2">
      <c r="B95" s="5"/>
      <c r="C95" s="5"/>
      <c r="D95" s="5"/>
      <c r="E95" s="5"/>
      <c r="F95" s="5"/>
      <c r="G95" s="5"/>
      <c r="H95" s="5"/>
      <c r="I95" s="5"/>
      <c r="J95" s="5"/>
      <c r="K95" s="5"/>
    </row>
    <row r="96" spans="1:11" ht="13.8">
      <c r="A96" s="252" t="s">
        <v>103</v>
      </c>
      <c r="B96" s="247"/>
      <c r="C96" s="248"/>
    </row>
    <row r="97" spans="1:11" ht="13.2">
      <c r="A97" s="131"/>
      <c r="B97" s="29"/>
      <c r="C97" s="132"/>
      <c r="D97" s="29"/>
      <c r="E97" s="29"/>
      <c r="F97" s="29"/>
      <c r="G97" s="109"/>
      <c r="H97" s="109"/>
      <c r="I97" s="109"/>
      <c r="J97" s="109"/>
      <c r="K97" s="109"/>
    </row>
    <row r="98" spans="1:11" ht="13.2">
      <c r="A98" s="131"/>
      <c r="B98" s="29"/>
      <c r="C98" s="132"/>
      <c r="D98" s="29"/>
      <c r="E98" s="29"/>
      <c r="F98" s="29"/>
      <c r="G98" s="109"/>
      <c r="H98" s="109"/>
      <c r="I98" s="109"/>
      <c r="J98" s="109"/>
      <c r="K98" s="109"/>
    </row>
    <row r="99" spans="1:11" ht="13.2">
      <c r="A99" s="261" t="s">
        <v>261</v>
      </c>
      <c r="B99" s="250"/>
      <c r="C99" s="251"/>
      <c r="D99" s="5"/>
      <c r="E99" s="5"/>
      <c r="F99" s="5"/>
      <c r="G99" s="5"/>
      <c r="H99" s="5"/>
      <c r="I99" s="5"/>
      <c r="J99" s="5"/>
      <c r="K99" s="5"/>
    </row>
    <row r="100" spans="1:11" ht="13.2">
      <c r="A100" s="262" t="s">
        <v>262</v>
      </c>
      <c r="B100" s="250"/>
      <c r="C100" s="251"/>
      <c r="G100" s="109"/>
    </row>
    <row r="101" spans="1:11" ht="13.2">
      <c r="A101" s="262" t="s">
        <v>265</v>
      </c>
      <c r="B101" s="250"/>
      <c r="C101" s="251"/>
      <c r="G101" s="109"/>
    </row>
    <row r="102" spans="1:11" ht="13.2">
      <c r="A102" s="262" t="s">
        <v>267</v>
      </c>
      <c r="B102" s="250"/>
      <c r="C102" s="251"/>
      <c r="D102" s="29"/>
      <c r="E102" s="29"/>
      <c r="F102" s="29"/>
      <c r="G102" s="109"/>
      <c r="H102" s="109"/>
      <c r="I102" s="109"/>
      <c r="J102" s="109"/>
      <c r="K102" s="109"/>
    </row>
    <row r="103" spans="1:11" ht="13.2">
      <c r="A103" s="262" t="s">
        <v>270</v>
      </c>
      <c r="B103" s="250"/>
      <c r="C103" s="251"/>
      <c r="D103" s="29"/>
      <c r="E103" s="29"/>
      <c r="F103" s="29"/>
      <c r="G103" s="109"/>
      <c r="H103" s="109"/>
      <c r="I103" s="109"/>
      <c r="J103" s="109"/>
      <c r="K103" s="109"/>
    </row>
    <row r="104" spans="1:11" ht="13.2">
      <c r="A104" s="262" t="s">
        <v>273</v>
      </c>
      <c r="B104" s="250"/>
      <c r="C104" s="251"/>
      <c r="D104" s="29"/>
      <c r="E104" s="29"/>
      <c r="F104" s="29"/>
      <c r="G104" s="109"/>
      <c r="H104" s="109"/>
      <c r="I104" s="109"/>
      <c r="J104" s="109"/>
      <c r="K104" s="109"/>
    </row>
    <row r="105" spans="1:11" ht="13.2">
      <c r="A105" s="262" t="s">
        <v>275</v>
      </c>
      <c r="B105" s="250"/>
      <c r="C105" s="251"/>
      <c r="D105" s="29"/>
      <c r="E105" s="29"/>
      <c r="F105" s="29"/>
      <c r="G105" s="109"/>
      <c r="H105" s="109"/>
      <c r="I105" s="109"/>
      <c r="J105" s="109"/>
      <c r="K105" s="109"/>
    </row>
    <row r="106" spans="1:11" ht="13.2">
      <c r="A106" s="141"/>
      <c r="B106" s="142"/>
      <c r="C106" s="143"/>
      <c r="D106" s="29"/>
      <c r="E106" s="29"/>
      <c r="F106" s="29"/>
      <c r="G106" s="109"/>
      <c r="H106" s="109"/>
      <c r="I106" s="109"/>
      <c r="J106" s="109"/>
      <c r="K106" s="109"/>
    </row>
    <row r="107" spans="1:11" ht="13.2">
      <c r="A107" s="29"/>
      <c r="B107" s="29"/>
      <c r="C107" s="29"/>
      <c r="D107" s="29"/>
      <c r="E107" s="29"/>
      <c r="F107" s="29"/>
      <c r="G107" s="109"/>
      <c r="H107" s="109"/>
      <c r="I107" s="109"/>
      <c r="J107" s="109"/>
      <c r="K107" s="109"/>
    </row>
    <row r="108" spans="1:11" ht="13.2">
      <c r="A108" s="29"/>
      <c r="B108" s="29"/>
      <c r="C108" s="29"/>
      <c r="D108" s="29"/>
      <c r="E108" s="29"/>
      <c r="F108" s="29"/>
      <c r="G108" s="109"/>
      <c r="H108" s="109"/>
      <c r="I108" s="109"/>
      <c r="J108" s="109"/>
      <c r="K108" s="109"/>
    </row>
    <row r="109" spans="1:11" ht="13.2">
      <c r="A109" s="5"/>
      <c r="B109" s="37"/>
      <c r="C109" s="37"/>
      <c r="D109" s="37"/>
      <c r="E109" s="37"/>
      <c r="F109" s="37"/>
      <c r="G109" s="146"/>
      <c r="H109" s="146"/>
      <c r="I109" s="146"/>
      <c r="J109" s="146"/>
      <c r="K109" s="146"/>
    </row>
    <row r="110" spans="1:11" ht="13.2">
      <c r="A110" s="5"/>
      <c r="B110" s="29"/>
      <c r="C110" s="29"/>
      <c r="D110" s="29"/>
      <c r="E110" s="29"/>
      <c r="F110" s="29"/>
      <c r="G110" s="109"/>
      <c r="H110" s="109"/>
      <c r="I110" s="109"/>
      <c r="J110" s="109"/>
      <c r="K110" s="109"/>
    </row>
    <row r="111" spans="1:11" ht="13.2">
      <c r="A111" s="5"/>
      <c r="B111" s="5"/>
      <c r="C111" s="5"/>
      <c r="D111" s="5"/>
      <c r="E111" s="5"/>
      <c r="F111" s="5"/>
      <c r="G111" s="146"/>
      <c r="H111" s="146"/>
      <c r="I111" s="146"/>
      <c r="J111" s="146"/>
      <c r="K111" s="146"/>
    </row>
    <row r="141" spans="1:11" ht="15.6">
      <c r="A141" s="265"/>
      <c r="B141" s="250"/>
      <c r="C141" s="250"/>
      <c r="D141" s="250"/>
      <c r="E141" s="250"/>
      <c r="F141" s="250"/>
      <c r="G141" s="250"/>
      <c r="H141" s="250"/>
      <c r="I141" s="250"/>
      <c r="J141" s="250"/>
      <c r="K141" s="250"/>
    </row>
    <row r="142" spans="1:11" ht="13.8">
      <c r="A142" s="113"/>
      <c r="B142" s="263"/>
      <c r="C142" s="250"/>
      <c r="D142" s="250"/>
      <c r="E142" s="250"/>
      <c r="F142" s="250"/>
      <c r="G142" s="263"/>
      <c r="H142" s="250"/>
      <c r="I142" s="250"/>
      <c r="J142" s="250"/>
      <c r="K142" s="250"/>
    </row>
    <row r="143" spans="1:11" ht="13.2">
      <c r="B143" s="5"/>
      <c r="C143" s="5"/>
      <c r="D143" s="5"/>
      <c r="E143" s="5"/>
      <c r="F143" s="5"/>
      <c r="G143" s="5"/>
      <c r="H143" s="5"/>
      <c r="I143" s="5"/>
      <c r="J143" s="5"/>
      <c r="K143" s="5"/>
    </row>
    <row r="144" spans="1:11" ht="13.2">
      <c r="B144" s="5"/>
      <c r="C144" s="5"/>
      <c r="D144" s="5"/>
      <c r="E144" s="5"/>
      <c r="F144" s="5"/>
      <c r="G144" s="5"/>
      <c r="H144" s="5"/>
      <c r="I144" s="5"/>
      <c r="J144" s="5"/>
      <c r="K144" s="5"/>
    </row>
    <row r="145" spans="1:11" ht="13.2">
      <c r="A145" s="5"/>
    </row>
    <row r="146" spans="1:11" ht="13.2">
      <c r="A146" s="29"/>
      <c r="B146" s="29"/>
      <c r="C146" s="29"/>
      <c r="D146" s="29"/>
      <c r="E146" s="29"/>
      <c r="F146" s="29"/>
      <c r="G146" s="109"/>
      <c r="H146" s="109"/>
      <c r="I146" s="109"/>
      <c r="J146" s="109"/>
      <c r="K146" s="109"/>
    </row>
    <row r="147" spans="1:11" ht="13.2">
      <c r="A147" s="29"/>
      <c r="B147" s="29"/>
      <c r="C147" s="29"/>
      <c r="D147" s="29"/>
      <c r="E147" s="29"/>
      <c r="F147" s="29"/>
      <c r="G147" s="109"/>
      <c r="H147" s="109"/>
      <c r="I147" s="109"/>
      <c r="J147" s="109"/>
      <c r="K147" s="109"/>
    </row>
    <row r="148" spans="1:11" ht="13.2">
      <c r="A148" s="5"/>
      <c r="B148" s="37"/>
      <c r="C148" s="5"/>
      <c r="D148" s="5"/>
      <c r="E148" s="5"/>
      <c r="F148" s="5"/>
      <c r="G148" s="5"/>
      <c r="H148" s="5"/>
      <c r="I148" s="5"/>
      <c r="J148" s="5"/>
      <c r="K148" s="5"/>
    </row>
    <row r="149" spans="1:11" ht="13.2">
      <c r="G149" s="109"/>
    </row>
    <row r="150" spans="1:11" ht="13.2">
      <c r="A150" s="5"/>
      <c r="G150" s="109"/>
    </row>
    <row r="151" spans="1:11" ht="13.2">
      <c r="A151" s="29"/>
      <c r="B151" s="29"/>
      <c r="C151" s="29"/>
      <c r="D151" s="29"/>
      <c r="E151" s="29"/>
      <c r="F151" s="29"/>
      <c r="G151" s="109"/>
      <c r="H151" s="109"/>
      <c r="I151" s="109"/>
      <c r="J151" s="109"/>
      <c r="K151" s="109"/>
    </row>
    <row r="152" spans="1:11" ht="13.2">
      <c r="A152" s="29"/>
      <c r="B152" s="29"/>
      <c r="C152" s="29"/>
      <c r="D152" s="29"/>
      <c r="E152" s="29"/>
      <c r="F152" s="29"/>
      <c r="G152" s="109"/>
      <c r="H152" s="109"/>
      <c r="I152" s="109"/>
      <c r="J152" s="109"/>
      <c r="K152" s="109"/>
    </row>
    <row r="153" spans="1:11" ht="13.2">
      <c r="A153" s="29"/>
      <c r="B153" s="29"/>
      <c r="C153" s="29"/>
      <c r="D153" s="29"/>
      <c r="E153" s="29"/>
      <c r="F153" s="29"/>
      <c r="G153" s="109"/>
      <c r="H153" s="109"/>
      <c r="I153" s="109"/>
      <c r="J153" s="109"/>
      <c r="K153" s="109"/>
    </row>
    <row r="154" spans="1:11" ht="13.2">
      <c r="A154" s="29"/>
      <c r="B154" s="29"/>
      <c r="C154" s="29"/>
      <c r="D154" s="29"/>
      <c r="E154" s="29"/>
      <c r="F154" s="29"/>
      <c r="G154" s="109"/>
      <c r="H154" s="109"/>
      <c r="I154" s="109"/>
      <c r="J154" s="109"/>
      <c r="K154" s="109"/>
    </row>
    <row r="155" spans="1:11" ht="13.2">
      <c r="A155" s="29"/>
      <c r="B155" s="29"/>
      <c r="C155" s="29"/>
      <c r="D155" s="29"/>
      <c r="E155" s="29"/>
      <c r="F155" s="29"/>
      <c r="G155" s="109"/>
      <c r="H155" s="109"/>
      <c r="I155" s="109"/>
      <c r="J155" s="109"/>
      <c r="K155" s="109"/>
    </row>
    <row r="156" spans="1:11" ht="13.2">
      <c r="A156" s="29"/>
      <c r="B156" s="29"/>
      <c r="C156" s="29"/>
      <c r="D156" s="29"/>
      <c r="E156" s="29"/>
      <c r="F156" s="29"/>
      <c r="G156" s="109"/>
      <c r="H156" s="109"/>
      <c r="I156" s="109"/>
      <c r="J156" s="109"/>
      <c r="K156" s="109"/>
    </row>
    <row r="157" spans="1:11" ht="13.2">
      <c r="A157" s="29"/>
      <c r="B157" s="29"/>
      <c r="C157" s="29"/>
      <c r="D157" s="29"/>
      <c r="E157" s="29"/>
      <c r="F157" s="29"/>
      <c r="G157" s="109"/>
      <c r="H157" s="109"/>
      <c r="I157" s="109"/>
      <c r="J157" s="109"/>
      <c r="K157" s="109"/>
    </row>
    <row r="158" spans="1:11" ht="13.2">
      <c r="A158" s="5"/>
      <c r="B158" s="37"/>
      <c r="C158" s="37"/>
      <c r="D158" s="37"/>
      <c r="E158" s="37"/>
      <c r="F158" s="37"/>
      <c r="G158" s="146"/>
      <c r="H158" s="146"/>
      <c r="I158" s="146"/>
      <c r="J158" s="146"/>
      <c r="K158" s="146"/>
    </row>
    <row r="159" spans="1:11" ht="13.2">
      <c r="A159" s="5"/>
      <c r="B159" s="29"/>
      <c r="C159" s="29"/>
      <c r="D159" s="29"/>
      <c r="E159" s="29"/>
      <c r="F159" s="29"/>
      <c r="G159" s="109"/>
      <c r="H159" s="109"/>
      <c r="I159" s="109"/>
      <c r="J159" s="109"/>
      <c r="K159" s="109"/>
    </row>
    <row r="160" spans="1:11" ht="13.2">
      <c r="A160" s="5"/>
      <c r="B160" s="5"/>
      <c r="C160" s="5"/>
      <c r="D160" s="5"/>
      <c r="E160" s="5"/>
      <c r="F160" s="5"/>
      <c r="G160" s="146"/>
      <c r="H160" s="146"/>
      <c r="I160" s="146"/>
      <c r="J160" s="146"/>
      <c r="K160" s="146"/>
    </row>
  </sheetData>
  <mergeCells count="28">
    <mergeCell ref="A105:C105"/>
    <mergeCell ref="A141:K141"/>
    <mergeCell ref="B142:F142"/>
    <mergeCell ref="G142:K142"/>
    <mergeCell ref="A96:C96"/>
    <mergeCell ref="A99:C99"/>
    <mergeCell ref="A100:C100"/>
    <mergeCell ref="A101:C101"/>
    <mergeCell ref="A102:C102"/>
    <mergeCell ref="A103:C103"/>
    <mergeCell ref="A104:C104"/>
    <mergeCell ref="A60:C60"/>
    <mergeCell ref="G61:K61"/>
    <mergeCell ref="A74:K74"/>
    <mergeCell ref="B75:F75"/>
    <mergeCell ref="G75:K75"/>
    <mergeCell ref="A61:C61"/>
    <mergeCell ref="A62:C62"/>
    <mergeCell ref="A63:C63"/>
    <mergeCell ref="A64:C64"/>
    <mergeCell ref="A65:C65"/>
    <mergeCell ref="A66:C66"/>
    <mergeCell ref="A67:C67"/>
    <mergeCell ref="A3:K3"/>
    <mergeCell ref="B4:F4"/>
    <mergeCell ref="G4:K4"/>
    <mergeCell ref="A56:C56"/>
    <mergeCell ref="A59:C5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L153"/>
  <sheetViews>
    <sheetView showGridLines="0" workbookViewId="0"/>
  </sheetViews>
  <sheetFormatPr defaultColWidth="12.6640625" defaultRowHeight="15.75" customHeight="1"/>
  <cols>
    <col min="1" max="1" width="28.77734375" customWidth="1"/>
    <col min="2" max="2" width="17" customWidth="1"/>
  </cols>
  <sheetData>
    <row r="2" spans="1:12">
      <c r="J2" s="5" t="s">
        <v>0</v>
      </c>
    </row>
    <row r="3" spans="1:12" ht="15.75" customHeight="1">
      <c r="A3" s="264" t="s">
        <v>109</v>
      </c>
      <c r="B3" s="247"/>
      <c r="C3" s="247"/>
      <c r="D3" s="247"/>
      <c r="E3" s="247"/>
      <c r="F3" s="247"/>
      <c r="G3" s="247"/>
      <c r="H3" s="247"/>
      <c r="I3" s="247"/>
      <c r="J3" s="247"/>
      <c r="K3" s="247"/>
      <c r="L3" s="248"/>
    </row>
    <row r="4" spans="1:12">
      <c r="A4" s="58" t="s">
        <v>4</v>
      </c>
      <c r="B4" s="259" t="s">
        <v>117</v>
      </c>
      <c r="C4" s="247"/>
      <c r="D4" s="247"/>
      <c r="E4" s="247"/>
      <c r="F4" s="248"/>
      <c r="G4" s="260" t="s">
        <v>175</v>
      </c>
      <c r="H4" s="247"/>
      <c r="I4" s="247"/>
      <c r="J4" s="247"/>
      <c r="K4" s="248"/>
      <c r="L4" s="91" t="s">
        <v>176</v>
      </c>
    </row>
    <row r="5" spans="1:12">
      <c r="A5" s="59"/>
      <c r="B5" s="60" t="s">
        <v>177</v>
      </c>
      <c r="C5" s="61" t="s">
        <v>179</v>
      </c>
      <c r="D5" s="61" t="s">
        <v>180</v>
      </c>
      <c r="E5" s="61" t="s">
        <v>6</v>
      </c>
      <c r="F5" s="61" t="s">
        <v>7</v>
      </c>
      <c r="G5" s="61" t="s">
        <v>181</v>
      </c>
      <c r="H5" s="61" t="s">
        <v>182</v>
      </c>
      <c r="I5" s="61" t="s">
        <v>183</v>
      </c>
      <c r="J5" s="61" t="s">
        <v>184</v>
      </c>
      <c r="K5" s="92" t="s">
        <v>186</v>
      </c>
      <c r="L5" s="59"/>
    </row>
    <row r="6" spans="1:12">
      <c r="A6" s="93" t="s">
        <v>87</v>
      </c>
      <c r="B6" s="22"/>
      <c r="C6" s="22"/>
      <c r="D6" s="22"/>
      <c r="E6" s="22"/>
      <c r="F6" s="22"/>
      <c r="G6" s="22"/>
      <c r="H6" s="22"/>
      <c r="I6" s="22"/>
      <c r="J6" s="22"/>
      <c r="K6" s="22"/>
      <c r="L6" s="94"/>
    </row>
    <row r="7" spans="1:12">
      <c r="A7" s="95" t="s">
        <v>17</v>
      </c>
      <c r="B7" s="23">
        <v>235</v>
      </c>
      <c r="C7" s="23">
        <v>235</v>
      </c>
      <c r="D7" s="23">
        <v>235</v>
      </c>
      <c r="E7" s="23">
        <v>235</v>
      </c>
      <c r="F7" s="23">
        <v>235</v>
      </c>
      <c r="G7" s="26">
        <v>100</v>
      </c>
      <c r="H7" s="96">
        <f t="shared" ref="H7:H9" si="0">(C7/B7)*100</f>
        <v>100</v>
      </c>
      <c r="I7" s="96">
        <f t="shared" ref="I7:I9" si="1">(D7/B7)*100</f>
        <v>100</v>
      </c>
      <c r="J7" s="96">
        <f t="shared" ref="J7:J9" si="2">(E7/B7)*100</f>
        <v>100</v>
      </c>
      <c r="K7" s="96">
        <f t="shared" ref="K7:K9" si="3">(F7/B7)*100</f>
        <v>100</v>
      </c>
      <c r="L7" s="97"/>
    </row>
    <row r="8" spans="1:12">
      <c r="A8" s="95" t="s">
        <v>19</v>
      </c>
      <c r="B8" s="23">
        <v>47199</v>
      </c>
      <c r="C8" s="23">
        <v>48525</v>
      </c>
      <c r="D8" s="23">
        <v>49986</v>
      </c>
      <c r="E8" s="23">
        <v>50738</v>
      </c>
      <c r="F8" s="23">
        <v>48918</v>
      </c>
      <c r="G8" s="26">
        <v>100</v>
      </c>
      <c r="H8" s="96">
        <f t="shared" si="0"/>
        <v>102.80938155469394</v>
      </c>
      <c r="I8" s="96">
        <f t="shared" si="1"/>
        <v>105.90478611834997</v>
      </c>
      <c r="J8" s="96">
        <f t="shared" si="2"/>
        <v>107.49804021271636</v>
      </c>
      <c r="K8" s="96">
        <f t="shared" si="3"/>
        <v>103.64202631411683</v>
      </c>
      <c r="L8" s="98"/>
    </row>
    <row r="9" spans="1:12">
      <c r="A9" s="95" t="s">
        <v>22</v>
      </c>
      <c r="B9" s="23">
        <v>47434</v>
      </c>
      <c r="C9" s="23">
        <v>48760</v>
      </c>
      <c r="D9" s="23">
        <v>50221</v>
      </c>
      <c r="E9" s="23">
        <v>50973</v>
      </c>
      <c r="F9" s="23">
        <v>49153</v>
      </c>
      <c r="G9" s="26">
        <v>100</v>
      </c>
      <c r="H9" s="96">
        <f t="shared" si="0"/>
        <v>102.79546316987816</v>
      </c>
      <c r="I9" s="96">
        <f t="shared" si="1"/>
        <v>105.87553231859003</v>
      </c>
      <c r="J9" s="96">
        <f t="shared" si="2"/>
        <v>107.4608930303158</v>
      </c>
      <c r="K9" s="96">
        <f t="shared" si="3"/>
        <v>103.62398279714972</v>
      </c>
      <c r="L9" s="98"/>
    </row>
    <row r="10" spans="1:12">
      <c r="A10" s="102" t="s">
        <v>23</v>
      </c>
      <c r="B10" s="27"/>
      <c r="C10" s="27"/>
      <c r="D10" s="27"/>
      <c r="E10" s="27"/>
      <c r="F10" s="27"/>
      <c r="G10" s="27"/>
      <c r="H10" s="96"/>
      <c r="I10" s="96"/>
      <c r="J10" s="96"/>
      <c r="K10" s="96"/>
      <c r="L10" s="97"/>
    </row>
    <row r="11" spans="1:12">
      <c r="A11" s="102" t="s">
        <v>201</v>
      </c>
      <c r="B11" s="27"/>
      <c r="C11" s="27"/>
      <c r="D11" s="27"/>
      <c r="E11" s="27"/>
      <c r="F11" s="27"/>
      <c r="G11" s="27"/>
      <c r="H11" s="96"/>
      <c r="I11" s="96"/>
      <c r="J11" s="96"/>
      <c r="K11" s="96"/>
      <c r="L11" s="97"/>
    </row>
    <row r="12" spans="1:12">
      <c r="A12" s="95" t="s">
        <v>25</v>
      </c>
      <c r="B12" s="23">
        <v>679</v>
      </c>
      <c r="C12" s="23">
        <v>686</v>
      </c>
      <c r="D12" s="23">
        <v>746</v>
      </c>
      <c r="E12" s="23">
        <v>1034</v>
      </c>
      <c r="F12" s="23">
        <v>1157</v>
      </c>
      <c r="G12" s="26">
        <v>100</v>
      </c>
      <c r="H12" s="96">
        <f t="shared" ref="H12:H17" si="4">(C12/B12)*100</f>
        <v>101.03092783505154</v>
      </c>
      <c r="I12" s="96">
        <f t="shared" ref="I12:I17" si="5">(D12/B12)*100</f>
        <v>109.86745213549338</v>
      </c>
      <c r="J12" s="96">
        <f t="shared" ref="J12:J17" si="6">(E12/B12)*100</f>
        <v>152.28276877761414</v>
      </c>
      <c r="K12" s="96">
        <f t="shared" ref="K12:K17" si="7">(F12/B12)*100</f>
        <v>170.39764359351989</v>
      </c>
      <c r="L12" s="107"/>
    </row>
    <row r="13" spans="1:12">
      <c r="A13" s="95" t="s">
        <v>29</v>
      </c>
      <c r="B13" s="23">
        <v>266</v>
      </c>
      <c r="C13" s="23">
        <v>329</v>
      </c>
      <c r="D13" s="23">
        <v>495</v>
      </c>
      <c r="E13" s="23">
        <v>430</v>
      </c>
      <c r="F13" s="23">
        <v>647</v>
      </c>
      <c r="G13" s="26">
        <v>100</v>
      </c>
      <c r="H13" s="96">
        <f t="shared" si="4"/>
        <v>123.68421052631579</v>
      </c>
      <c r="I13" s="96">
        <f t="shared" si="5"/>
        <v>186.09022556390977</v>
      </c>
      <c r="J13" s="96">
        <f t="shared" si="6"/>
        <v>161.65413533834587</v>
      </c>
      <c r="K13" s="96">
        <f t="shared" si="7"/>
        <v>243.23308270676694</v>
      </c>
      <c r="L13" s="107"/>
    </row>
    <row r="14" spans="1:12">
      <c r="A14" s="95" t="s">
        <v>31</v>
      </c>
      <c r="B14" s="23">
        <v>1551</v>
      </c>
      <c r="C14" s="23">
        <v>1553</v>
      </c>
      <c r="D14" s="23">
        <v>1335</v>
      </c>
      <c r="E14" s="23">
        <v>1551</v>
      </c>
      <c r="F14" s="23">
        <v>1509</v>
      </c>
      <c r="G14" s="26">
        <v>100</v>
      </c>
      <c r="H14" s="96">
        <f t="shared" si="4"/>
        <v>100.12894906511929</v>
      </c>
      <c r="I14" s="96">
        <f t="shared" si="5"/>
        <v>86.073500967117994</v>
      </c>
      <c r="J14" s="96">
        <f t="shared" si="6"/>
        <v>100</v>
      </c>
      <c r="K14" s="96">
        <f t="shared" si="7"/>
        <v>97.292069632495156</v>
      </c>
      <c r="L14" s="107"/>
    </row>
    <row r="15" spans="1:12">
      <c r="A15" s="95" t="s">
        <v>36</v>
      </c>
      <c r="B15" s="23">
        <v>5986</v>
      </c>
      <c r="C15" s="23">
        <v>6141</v>
      </c>
      <c r="D15" s="23">
        <v>6325</v>
      </c>
      <c r="E15" s="23">
        <v>6454</v>
      </c>
      <c r="F15" s="23">
        <v>6583</v>
      </c>
      <c r="G15" s="26">
        <v>100</v>
      </c>
      <c r="H15" s="96">
        <f t="shared" si="4"/>
        <v>102.58937520882058</v>
      </c>
      <c r="I15" s="96">
        <f t="shared" si="5"/>
        <v>105.66321416638824</v>
      </c>
      <c r="J15" s="96">
        <f t="shared" si="6"/>
        <v>107.8182425659873</v>
      </c>
      <c r="K15" s="96">
        <f t="shared" si="7"/>
        <v>109.97327096558638</v>
      </c>
      <c r="L15" s="107"/>
    </row>
    <row r="16" spans="1:12">
      <c r="A16" s="95" t="s">
        <v>230</v>
      </c>
      <c r="B16" s="23">
        <v>1359</v>
      </c>
      <c r="C16" s="23">
        <v>1324</v>
      </c>
      <c r="D16" s="23">
        <v>1076</v>
      </c>
      <c r="E16" s="23">
        <v>4231</v>
      </c>
      <c r="F16" s="23">
        <v>3592</v>
      </c>
      <c r="G16" s="26">
        <v>100</v>
      </c>
      <c r="H16" s="96">
        <f t="shared" si="4"/>
        <v>97.424576894775569</v>
      </c>
      <c r="I16" s="96">
        <f t="shared" si="5"/>
        <v>79.17586460632819</v>
      </c>
      <c r="J16" s="96">
        <f t="shared" si="6"/>
        <v>311.33186166298748</v>
      </c>
      <c r="K16" s="96">
        <f t="shared" si="7"/>
        <v>264.31199411331863</v>
      </c>
      <c r="L16" s="107"/>
    </row>
    <row r="17" spans="1:12">
      <c r="A17" s="95" t="s">
        <v>39</v>
      </c>
      <c r="B17" s="23">
        <v>9841</v>
      </c>
      <c r="C17" s="23">
        <v>10033</v>
      </c>
      <c r="D17" s="23">
        <v>9977</v>
      </c>
      <c r="E17" s="23">
        <v>13700</v>
      </c>
      <c r="F17" s="23">
        <v>13488</v>
      </c>
      <c r="G17" s="26">
        <v>100</v>
      </c>
      <c r="H17" s="96">
        <f t="shared" si="4"/>
        <v>101.9510212376791</v>
      </c>
      <c r="I17" s="96">
        <f t="shared" si="5"/>
        <v>101.38197337668937</v>
      </c>
      <c r="J17" s="96">
        <f t="shared" si="6"/>
        <v>139.21349456356063</v>
      </c>
      <c r="K17" s="96">
        <f t="shared" si="7"/>
        <v>137.0592419469566</v>
      </c>
      <c r="L17" s="107"/>
    </row>
    <row r="18" spans="1:12">
      <c r="A18" s="102" t="s">
        <v>40</v>
      </c>
      <c r="B18" s="27"/>
      <c r="C18" s="27"/>
      <c r="D18" s="27"/>
      <c r="E18" s="27"/>
      <c r="F18" s="27"/>
      <c r="G18" s="27"/>
      <c r="H18" s="96"/>
      <c r="I18" s="96"/>
      <c r="J18" s="96"/>
      <c r="K18" s="96"/>
      <c r="L18" s="97"/>
    </row>
    <row r="19" spans="1:12">
      <c r="A19" s="95" t="s">
        <v>25</v>
      </c>
      <c r="B19" s="23">
        <v>264</v>
      </c>
      <c r="C19" s="23">
        <v>285</v>
      </c>
      <c r="D19" s="23">
        <v>293</v>
      </c>
      <c r="E19" s="23">
        <v>340</v>
      </c>
      <c r="F19" s="23">
        <v>380</v>
      </c>
      <c r="G19" s="26">
        <v>100</v>
      </c>
      <c r="H19" s="96">
        <f t="shared" ref="H19:H23" si="8">(C19/B19)*100</f>
        <v>107.95454545454545</v>
      </c>
      <c r="I19" s="96">
        <f t="shared" ref="I19:I23" si="9">(D19/B19)*100</f>
        <v>110.98484848484848</v>
      </c>
      <c r="J19" s="96">
        <f t="shared" ref="J19:J23" si="10">(E19/B19)*100</f>
        <v>128.78787878787878</v>
      </c>
      <c r="K19" s="96">
        <f t="shared" ref="K19:K23" si="11">(F19/B19)*100</f>
        <v>143.93939393939394</v>
      </c>
      <c r="L19" s="107"/>
    </row>
    <row r="20" spans="1:12">
      <c r="A20" s="95" t="s">
        <v>42</v>
      </c>
      <c r="B20" s="23">
        <v>8627</v>
      </c>
      <c r="C20" s="23">
        <v>8864</v>
      </c>
      <c r="D20" s="23">
        <v>9391</v>
      </c>
      <c r="E20" s="23">
        <v>10148</v>
      </c>
      <c r="F20" s="23">
        <v>10998</v>
      </c>
      <c r="G20" s="26">
        <v>100</v>
      </c>
      <c r="H20" s="96">
        <f t="shared" si="8"/>
        <v>102.74718905760982</v>
      </c>
      <c r="I20" s="96">
        <f t="shared" si="9"/>
        <v>108.85591746841312</v>
      </c>
      <c r="J20" s="96">
        <f t="shared" si="10"/>
        <v>117.63069433174915</v>
      </c>
      <c r="K20" s="96">
        <f t="shared" si="11"/>
        <v>127.48348209110931</v>
      </c>
      <c r="L20" s="107"/>
    </row>
    <row r="21" spans="1:12">
      <c r="A21" s="95" t="s">
        <v>29</v>
      </c>
      <c r="B21" s="23">
        <v>829</v>
      </c>
      <c r="C21" s="23">
        <v>823</v>
      </c>
      <c r="D21" s="23">
        <v>829</v>
      </c>
      <c r="E21" s="23">
        <v>797</v>
      </c>
      <c r="F21" s="23">
        <v>825</v>
      </c>
      <c r="G21" s="26">
        <v>100</v>
      </c>
      <c r="H21" s="96">
        <f t="shared" si="8"/>
        <v>99.276236429433055</v>
      </c>
      <c r="I21" s="96">
        <f t="shared" si="9"/>
        <v>100</v>
      </c>
      <c r="J21" s="96">
        <f t="shared" si="10"/>
        <v>96.139927623642933</v>
      </c>
      <c r="K21" s="96">
        <f t="shared" si="11"/>
        <v>99.51749095295537</v>
      </c>
      <c r="L21" s="107"/>
    </row>
    <row r="22" spans="1:12">
      <c r="A22" s="95" t="s">
        <v>43</v>
      </c>
      <c r="B22" s="23">
        <v>567</v>
      </c>
      <c r="C22" s="23">
        <v>638</v>
      </c>
      <c r="D22" s="23">
        <v>735</v>
      </c>
      <c r="E22" s="23">
        <v>789</v>
      </c>
      <c r="F22" s="23">
        <v>921</v>
      </c>
      <c r="G22" s="26">
        <v>100</v>
      </c>
      <c r="H22" s="96">
        <f t="shared" si="8"/>
        <v>112.52204585537919</v>
      </c>
      <c r="I22" s="96">
        <f t="shared" si="9"/>
        <v>129.62962962962962</v>
      </c>
      <c r="J22" s="96">
        <f t="shared" si="10"/>
        <v>139.15343915343917</v>
      </c>
      <c r="K22" s="96">
        <f t="shared" si="11"/>
        <v>162.43386243386243</v>
      </c>
      <c r="L22" s="107"/>
    </row>
    <row r="23" spans="1:12">
      <c r="A23" s="95" t="s">
        <v>31</v>
      </c>
      <c r="B23" s="23">
        <v>491</v>
      </c>
      <c r="C23" s="23">
        <v>334</v>
      </c>
      <c r="D23" s="23">
        <v>379</v>
      </c>
      <c r="E23" s="23">
        <v>329</v>
      </c>
      <c r="F23" s="23">
        <v>661</v>
      </c>
      <c r="G23" s="26">
        <v>100</v>
      </c>
      <c r="H23" s="96">
        <f t="shared" si="8"/>
        <v>68.024439918533602</v>
      </c>
      <c r="I23" s="96">
        <f t="shared" si="9"/>
        <v>77.189409368635438</v>
      </c>
      <c r="J23" s="96">
        <f t="shared" si="10"/>
        <v>67.006109979633393</v>
      </c>
      <c r="K23" s="96">
        <f t="shared" si="11"/>
        <v>134.62321792260693</v>
      </c>
      <c r="L23" s="107"/>
    </row>
    <row r="24" spans="1:12">
      <c r="A24" s="95" t="s">
        <v>46</v>
      </c>
      <c r="B24" s="23">
        <v>0</v>
      </c>
      <c r="C24" s="23">
        <v>0</v>
      </c>
      <c r="D24" s="23">
        <v>1887</v>
      </c>
      <c r="E24" s="23">
        <v>1887</v>
      </c>
      <c r="F24" s="23">
        <v>1887</v>
      </c>
      <c r="G24" s="26">
        <v>100</v>
      </c>
      <c r="H24" s="96">
        <v>0</v>
      </c>
      <c r="I24" s="96">
        <v>0</v>
      </c>
      <c r="J24" s="96">
        <v>0</v>
      </c>
      <c r="K24" s="96">
        <v>0</v>
      </c>
      <c r="L24" s="107"/>
    </row>
    <row r="25" spans="1:12">
      <c r="A25" s="119" t="s">
        <v>47</v>
      </c>
      <c r="B25" s="43">
        <v>10841</v>
      </c>
      <c r="C25" s="43">
        <v>10944</v>
      </c>
      <c r="D25" s="43">
        <v>11627</v>
      </c>
      <c r="E25" s="43">
        <v>12403</v>
      </c>
      <c r="F25" s="43">
        <v>15672</v>
      </c>
      <c r="G25" s="47">
        <v>100</v>
      </c>
      <c r="H25" s="120">
        <f t="shared" ref="H25:H26" si="12">(C25/B25)*100</f>
        <v>100.95009685453371</v>
      </c>
      <c r="I25" s="120">
        <f t="shared" ref="I25:I26" si="13">(D25/B25)*100</f>
        <v>107.25025366663591</v>
      </c>
      <c r="J25" s="120">
        <f t="shared" ref="J25:J26" si="14">(E25/B25)*100</f>
        <v>114.40826492021033</v>
      </c>
      <c r="K25" s="120">
        <f t="shared" ref="K25:K26" si="15">(F25/B25)*100</f>
        <v>144.56230975002308</v>
      </c>
      <c r="L25" s="107"/>
    </row>
    <row r="26" spans="1:12">
      <c r="A26" s="80" t="s">
        <v>173</v>
      </c>
      <c r="B26" s="63">
        <v>68116</v>
      </c>
      <c r="C26" s="63">
        <v>69737</v>
      </c>
      <c r="D26" s="63">
        <v>71825</v>
      </c>
      <c r="E26" s="63">
        <v>77076</v>
      </c>
      <c r="F26" s="63">
        <v>78313</v>
      </c>
      <c r="G26" s="80">
        <v>100</v>
      </c>
      <c r="H26" s="129">
        <f t="shared" si="12"/>
        <v>102.37976393211581</v>
      </c>
      <c r="I26" s="129">
        <f t="shared" si="13"/>
        <v>105.44512302542721</v>
      </c>
      <c r="J26" s="129">
        <f t="shared" si="14"/>
        <v>113.15403135827118</v>
      </c>
      <c r="K26" s="134">
        <f t="shared" si="15"/>
        <v>114.97005108931822</v>
      </c>
      <c r="L26" s="107"/>
    </row>
    <row r="27" spans="1:12">
      <c r="A27" s="93" t="s">
        <v>129</v>
      </c>
      <c r="B27" s="22"/>
      <c r="C27" s="22"/>
      <c r="D27" s="22"/>
      <c r="E27" s="22"/>
      <c r="F27" s="22"/>
      <c r="G27" s="22"/>
      <c r="H27" s="22"/>
      <c r="I27" s="138"/>
      <c r="J27" s="138"/>
      <c r="K27" s="138"/>
      <c r="L27" s="139"/>
    </row>
    <row r="28" spans="1:12">
      <c r="A28" s="102" t="s">
        <v>269</v>
      </c>
      <c r="B28" s="23"/>
      <c r="C28" s="23"/>
      <c r="D28" s="23"/>
      <c r="E28" s="23"/>
      <c r="F28" s="23"/>
      <c r="G28" s="26"/>
      <c r="H28" s="26"/>
      <c r="I28" s="96"/>
      <c r="J28" s="96"/>
      <c r="K28" s="96"/>
      <c r="L28" s="97"/>
    </row>
    <row r="29" spans="1:12">
      <c r="A29" s="95" t="s">
        <v>271</v>
      </c>
      <c r="B29" s="23">
        <v>5786</v>
      </c>
      <c r="C29" s="23">
        <v>5813</v>
      </c>
      <c r="D29" s="23">
        <v>6189</v>
      </c>
      <c r="E29" s="23">
        <v>7178</v>
      </c>
      <c r="F29" s="23">
        <v>7710</v>
      </c>
      <c r="G29" s="26">
        <v>100</v>
      </c>
      <c r="H29" s="26">
        <v>100.48</v>
      </c>
      <c r="I29" s="96">
        <f t="shared" ref="I29:I39" si="16">(D29/B29)*100</f>
        <v>106.96508814379537</v>
      </c>
      <c r="J29" s="96">
        <f t="shared" ref="J29:J39" si="17">(E29/B29)*100</f>
        <v>124.05807120636018</v>
      </c>
      <c r="K29" s="96">
        <f t="shared" ref="K29:K39" si="18">(F29/B29)*100</f>
        <v>133.2526788800553</v>
      </c>
      <c r="L29" s="107"/>
    </row>
    <row r="30" spans="1:12">
      <c r="A30" s="95" t="s">
        <v>282</v>
      </c>
      <c r="B30" s="23">
        <v>623</v>
      </c>
      <c r="C30" s="23">
        <v>901</v>
      </c>
      <c r="D30" s="23">
        <v>1020</v>
      </c>
      <c r="E30" s="23">
        <v>915</v>
      </c>
      <c r="F30" s="23">
        <v>956</v>
      </c>
      <c r="G30" s="26">
        <v>100</v>
      </c>
      <c r="H30" s="26">
        <v>144.47</v>
      </c>
      <c r="I30" s="96">
        <f t="shared" si="16"/>
        <v>163.72391653290529</v>
      </c>
      <c r="J30" s="96">
        <f t="shared" si="17"/>
        <v>146.86998394863565</v>
      </c>
      <c r="K30" s="96">
        <f t="shared" si="18"/>
        <v>153.45104333868377</v>
      </c>
      <c r="L30" s="107"/>
    </row>
    <row r="31" spans="1:12">
      <c r="A31" s="95" t="s">
        <v>58</v>
      </c>
      <c r="B31" s="23">
        <v>17316</v>
      </c>
      <c r="C31" s="23">
        <v>17316</v>
      </c>
      <c r="D31" s="23">
        <v>17316</v>
      </c>
      <c r="E31" s="23">
        <v>17316</v>
      </c>
      <c r="F31" s="23">
        <v>17316</v>
      </c>
      <c r="G31" s="26">
        <v>100</v>
      </c>
      <c r="H31" s="26">
        <v>100</v>
      </c>
      <c r="I31" s="96">
        <f t="shared" si="16"/>
        <v>100</v>
      </c>
      <c r="J31" s="96">
        <f t="shared" si="17"/>
        <v>100</v>
      </c>
      <c r="K31" s="96">
        <f t="shared" si="18"/>
        <v>100</v>
      </c>
      <c r="L31" s="97"/>
    </row>
    <row r="32" spans="1:12">
      <c r="A32" s="95" t="s">
        <v>284</v>
      </c>
      <c r="B32" s="23">
        <v>27925</v>
      </c>
      <c r="C32" s="23">
        <v>27905</v>
      </c>
      <c r="D32" s="23">
        <v>27900</v>
      </c>
      <c r="E32" s="23">
        <v>27885</v>
      </c>
      <c r="F32" s="23">
        <v>27881</v>
      </c>
      <c r="G32" s="26">
        <v>100</v>
      </c>
      <c r="H32" s="26">
        <v>100</v>
      </c>
      <c r="I32" s="96">
        <f t="shared" si="16"/>
        <v>99.910474485228292</v>
      </c>
      <c r="J32" s="96">
        <f t="shared" si="17"/>
        <v>99.856759176365259</v>
      </c>
      <c r="K32" s="96">
        <f t="shared" si="18"/>
        <v>99.842435094001786</v>
      </c>
      <c r="L32" s="98"/>
    </row>
    <row r="33" spans="1:12">
      <c r="A33" s="95" t="s">
        <v>178</v>
      </c>
      <c r="B33" s="23">
        <v>310</v>
      </c>
      <c r="C33" s="23">
        <v>610</v>
      </c>
      <c r="D33" s="23">
        <v>981</v>
      </c>
      <c r="E33" s="23">
        <v>981</v>
      </c>
      <c r="F33" s="23">
        <v>986</v>
      </c>
      <c r="G33" s="26">
        <v>100</v>
      </c>
      <c r="H33" s="26">
        <v>194.74</v>
      </c>
      <c r="I33" s="96">
        <f t="shared" si="16"/>
        <v>316.45161290322579</v>
      </c>
      <c r="J33" s="96">
        <f t="shared" si="17"/>
        <v>316.45161290322579</v>
      </c>
      <c r="K33" s="96">
        <f t="shared" si="18"/>
        <v>318.06451612903226</v>
      </c>
      <c r="L33" s="107"/>
    </row>
    <row r="34" spans="1:12" ht="13.2">
      <c r="A34" s="95" t="s">
        <v>82</v>
      </c>
      <c r="B34" s="23">
        <v>2</v>
      </c>
      <c r="C34" s="23">
        <v>2</v>
      </c>
      <c r="D34" s="23">
        <v>2</v>
      </c>
      <c r="E34" s="23">
        <v>2</v>
      </c>
      <c r="F34" s="23">
        <v>2</v>
      </c>
      <c r="G34" s="26">
        <v>100</v>
      </c>
      <c r="H34" s="26">
        <v>100</v>
      </c>
      <c r="I34" s="96">
        <f t="shared" si="16"/>
        <v>100</v>
      </c>
      <c r="J34" s="96">
        <f t="shared" si="17"/>
        <v>100</v>
      </c>
      <c r="K34" s="96">
        <f t="shared" si="18"/>
        <v>100</v>
      </c>
      <c r="L34" s="97"/>
    </row>
    <row r="35" spans="1:12" ht="13.2">
      <c r="A35" s="95" t="s">
        <v>86</v>
      </c>
      <c r="B35" s="23">
        <v>385</v>
      </c>
      <c r="C35" s="23">
        <v>541</v>
      </c>
      <c r="D35" s="23">
        <v>339</v>
      </c>
      <c r="E35" s="23">
        <v>392</v>
      </c>
      <c r="F35" s="23">
        <v>332</v>
      </c>
      <c r="G35" s="26">
        <v>100</v>
      </c>
      <c r="H35" s="26">
        <v>112.66</v>
      </c>
      <c r="I35" s="96">
        <f t="shared" si="16"/>
        <v>88.051948051948045</v>
      </c>
      <c r="J35" s="96">
        <f t="shared" si="17"/>
        <v>101.81818181818181</v>
      </c>
      <c r="K35" s="96">
        <f t="shared" si="18"/>
        <v>86.233766233766232</v>
      </c>
      <c r="L35" s="98"/>
    </row>
    <row r="36" spans="1:12" ht="13.2">
      <c r="A36" s="95" t="s">
        <v>68</v>
      </c>
      <c r="B36" s="23">
        <v>748</v>
      </c>
      <c r="C36" s="23">
        <v>720</v>
      </c>
      <c r="D36" s="23">
        <v>715</v>
      </c>
      <c r="E36" s="23">
        <v>714</v>
      </c>
      <c r="F36" s="23">
        <v>744</v>
      </c>
      <c r="G36" s="26">
        <v>100</v>
      </c>
      <c r="H36" s="26">
        <v>96.73</v>
      </c>
      <c r="I36" s="96">
        <f t="shared" si="16"/>
        <v>95.588235294117652</v>
      </c>
      <c r="J36" s="96">
        <f t="shared" si="17"/>
        <v>95.454545454545453</v>
      </c>
      <c r="K36" s="96">
        <f t="shared" si="18"/>
        <v>99.465240641711233</v>
      </c>
      <c r="L36" s="107"/>
    </row>
    <row r="37" spans="1:12" ht="13.2">
      <c r="A37" s="95" t="s">
        <v>287</v>
      </c>
      <c r="B37" s="23">
        <v>1200</v>
      </c>
      <c r="C37" s="23">
        <v>1107</v>
      </c>
      <c r="D37" s="23">
        <v>1115</v>
      </c>
      <c r="E37" s="23">
        <v>1118</v>
      </c>
      <c r="F37" s="23">
        <v>1144</v>
      </c>
      <c r="G37" s="26">
        <v>100</v>
      </c>
      <c r="H37" s="26">
        <v>92.25</v>
      </c>
      <c r="I37" s="96">
        <f t="shared" si="16"/>
        <v>92.916666666666671</v>
      </c>
      <c r="J37" s="96">
        <f t="shared" si="17"/>
        <v>93.166666666666657</v>
      </c>
      <c r="K37" s="96">
        <f t="shared" si="18"/>
        <v>95.333333333333343</v>
      </c>
      <c r="L37" s="107"/>
    </row>
    <row r="38" spans="1:12" ht="13.2">
      <c r="A38" s="95" t="s">
        <v>290</v>
      </c>
      <c r="B38" s="23">
        <v>181</v>
      </c>
      <c r="C38" s="23">
        <v>175</v>
      </c>
      <c r="D38" s="23">
        <v>199</v>
      </c>
      <c r="E38" s="23">
        <v>279</v>
      </c>
      <c r="F38" s="23">
        <v>343</v>
      </c>
      <c r="G38" s="26">
        <v>100</v>
      </c>
      <c r="H38" s="26">
        <v>96.69</v>
      </c>
      <c r="I38" s="96">
        <f t="shared" si="16"/>
        <v>109.94475138121547</v>
      </c>
      <c r="J38" s="96">
        <f t="shared" si="17"/>
        <v>154.14364640883977</v>
      </c>
      <c r="K38" s="96">
        <f t="shared" si="18"/>
        <v>189.50276243093921</v>
      </c>
      <c r="L38" s="107"/>
    </row>
    <row r="39" spans="1:12" ht="13.2">
      <c r="A39" s="95" t="s">
        <v>293</v>
      </c>
      <c r="B39" s="23">
        <v>54476</v>
      </c>
      <c r="C39" s="23">
        <v>55090</v>
      </c>
      <c r="D39" s="23">
        <v>55776</v>
      </c>
      <c r="E39" s="23">
        <v>56780</v>
      </c>
      <c r="F39" s="23">
        <v>57414</v>
      </c>
      <c r="G39" s="26">
        <v>100</v>
      </c>
      <c r="H39" s="26">
        <v>101.13</v>
      </c>
      <c r="I39" s="96">
        <f t="shared" si="16"/>
        <v>102.38637198032161</v>
      </c>
      <c r="J39" s="96">
        <f t="shared" si="17"/>
        <v>104.22938541743152</v>
      </c>
      <c r="K39" s="96">
        <f t="shared" si="18"/>
        <v>105.39320067552684</v>
      </c>
      <c r="L39" s="107"/>
    </row>
    <row r="40" spans="1:12" ht="13.2">
      <c r="A40" s="102" t="s">
        <v>188</v>
      </c>
      <c r="B40" s="27"/>
      <c r="C40" s="27"/>
      <c r="D40" s="27"/>
      <c r="E40" s="27"/>
      <c r="F40" s="27"/>
      <c r="G40" s="27"/>
      <c r="H40" s="27"/>
      <c r="I40" s="96"/>
      <c r="J40" s="96"/>
      <c r="K40" s="96"/>
      <c r="L40" s="97"/>
    </row>
    <row r="41" spans="1:12" ht="13.2">
      <c r="A41" s="95" t="s">
        <v>80</v>
      </c>
      <c r="B41" s="23">
        <v>3383</v>
      </c>
      <c r="C41" s="23">
        <v>3890</v>
      </c>
      <c r="D41" s="23">
        <v>4031</v>
      </c>
      <c r="E41" s="23">
        <v>3812</v>
      </c>
      <c r="F41" s="23">
        <v>4161</v>
      </c>
      <c r="G41" s="26">
        <v>100</v>
      </c>
      <c r="H41" s="26">
        <v>115.04</v>
      </c>
      <c r="I41" s="96">
        <f t="shared" ref="I41:I51" si="19">(D41/B41)*100</f>
        <v>119.15459651197162</v>
      </c>
      <c r="J41" s="96">
        <f t="shared" ref="J41:J51" si="20">(E41/B41)*100</f>
        <v>112.68105232042566</v>
      </c>
      <c r="K41" s="96">
        <f t="shared" ref="K41:K51" si="21">(F41/B41)*100</f>
        <v>122.99733963937334</v>
      </c>
      <c r="L41" s="107"/>
    </row>
    <row r="42" spans="1:12" ht="13.2">
      <c r="A42" s="95" t="s">
        <v>82</v>
      </c>
      <c r="B42" s="23">
        <v>2683</v>
      </c>
      <c r="C42" s="23">
        <v>3510</v>
      </c>
      <c r="D42" s="23">
        <v>2811</v>
      </c>
      <c r="E42" s="23">
        <v>4510</v>
      </c>
      <c r="F42" s="23">
        <v>3614</v>
      </c>
      <c r="G42" s="26">
        <v>100</v>
      </c>
      <c r="H42" s="26">
        <v>130.82</v>
      </c>
      <c r="I42" s="96">
        <f t="shared" si="19"/>
        <v>104.77077897875513</v>
      </c>
      <c r="J42" s="96">
        <f t="shared" si="20"/>
        <v>168.0954155795751</v>
      </c>
      <c r="K42" s="96">
        <f t="shared" si="21"/>
        <v>134.69996272828922</v>
      </c>
      <c r="L42" s="107"/>
    </row>
    <row r="43" spans="1:12" ht="13.2">
      <c r="A43" s="95" t="s">
        <v>86</v>
      </c>
      <c r="B43" s="23">
        <v>34</v>
      </c>
      <c r="C43" s="23">
        <v>34</v>
      </c>
      <c r="D43" s="23">
        <v>35</v>
      </c>
      <c r="E43" s="23">
        <v>37</v>
      </c>
      <c r="F43" s="23">
        <v>45</v>
      </c>
      <c r="G43" s="26">
        <v>100</v>
      </c>
      <c r="H43" s="26">
        <v>100</v>
      </c>
      <c r="I43" s="96">
        <f t="shared" si="19"/>
        <v>102.94117647058823</v>
      </c>
      <c r="J43" s="96">
        <f t="shared" si="20"/>
        <v>108.8235294117647</v>
      </c>
      <c r="K43" s="96">
        <f t="shared" si="21"/>
        <v>132.35294117647058</v>
      </c>
      <c r="L43" s="107"/>
    </row>
    <row r="44" spans="1:12" ht="13.2">
      <c r="A44" s="95" t="s">
        <v>88</v>
      </c>
      <c r="B44" s="23">
        <v>1648</v>
      </c>
      <c r="C44" s="23">
        <v>1932</v>
      </c>
      <c r="D44" s="23">
        <v>2735</v>
      </c>
      <c r="E44" s="23">
        <v>2690</v>
      </c>
      <c r="F44" s="23">
        <v>3450</v>
      </c>
      <c r="G44" s="26">
        <v>100</v>
      </c>
      <c r="H44" s="26">
        <v>117.26</v>
      </c>
      <c r="I44" s="96">
        <f t="shared" si="19"/>
        <v>165.95873786407768</v>
      </c>
      <c r="J44" s="96">
        <f t="shared" si="20"/>
        <v>163.22815533980582</v>
      </c>
      <c r="K44" s="96">
        <f t="shared" si="21"/>
        <v>209.34466019417476</v>
      </c>
      <c r="L44" s="107"/>
    </row>
    <row r="45" spans="1:12" ht="13.2">
      <c r="A45" s="95" t="s">
        <v>89</v>
      </c>
      <c r="B45" s="23">
        <v>1740</v>
      </c>
      <c r="C45" s="23">
        <v>988</v>
      </c>
      <c r="D45" s="23">
        <v>586</v>
      </c>
      <c r="E45" s="23">
        <v>609</v>
      </c>
      <c r="F45" s="23">
        <v>5947</v>
      </c>
      <c r="G45" s="26">
        <v>100</v>
      </c>
      <c r="H45" s="26">
        <v>56.78</v>
      </c>
      <c r="I45" s="96">
        <f t="shared" si="19"/>
        <v>33.678160919540225</v>
      </c>
      <c r="J45" s="96">
        <f t="shared" si="20"/>
        <v>35</v>
      </c>
      <c r="K45" s="96">
        <f t="shared" si="21"/>
        <v>341.78160919540227</v>
      </c>
      <c r="L45" s="107"/>
    </row>
    <row r="46" spans="1:12" ht="13.2">
      <c r="A46" s="95" t="s">
        <v>90</v>
      </c>
      <c r="B46" s="23">
        <v>2581</v>
      </c>
      <c r="C46" s="23">
        <v>2630</v>
      </c>
      <c r="D46" s="23">
        <v>3836</v>
      </c>
      <c r="E46" s="23">
        <v>6607</v>
      </c>
      <c r="F46" s="23">
        <v>1346</v>
      </c>
      <c r="G46" s="26">
        <v>100</v>
      </c>
      <c r="H46" s="26">
        <v>102.84</v>
      </c>
      <c r="I46" s="96">
        <f t="shared" si="19"/>
        <v>148.62456412243316</v>
      </c>
      <c r="J46" s="96">
        <f t="shared" si="20"/>
        <v>255.98605191786129</v>
      </c>
      <c r="K46" s="96">
        <f t="shared" si="21"/>
        <v>52.15032932971716</v>
      </c>
      <c r="L46" s="98"/>
    </row>
    <row r="47" spans="1:12" ht="13.2">
      <c r="A47" s="95" t="s">
        <v>68</v>
      </c>
      <c r="B47" s="23">
        <v>1116</v>
      </c>
      <c r="C47" s="23">
        <v>1070</v>
      </c>
      <c r="D47" s="23">
        <v>1391</v>
      </c>
      <c r="E47" s="23">
        <v>1416</v>
      </c>
      <c r="F47" s="23">
        <v>1469</v>
      </c>
      <c r="G47" s="26">
        <v>100</v>
      </c>
      <c r="H47" s="26">
        <v>113.39</v>
      </c>
      <c r="I47" s="96">
        <f t="shared" si="19"/>
        <v>124.64157706093191</v>
      </c>
      <c r="J47" s="96">
        <f t="shared" si="20"/>
        <v>126.88172043010752</v>
      </c>
      <c r="K47" s="96">
        <f t="shared" si="21"/>
        <v>131.63082437275986</v>
      </c>
      <c r="L47" s="107"/>
    </row>
    <row r="48" spans="1:12" ht="13.2">
      <c r="A48" s="95" t="s">
        <v>93</v>
      </c>
      <c r="B48" s="23">
        <v>438</v>
      </c>
      <c r="C48" s="23">
        <v>580</v>
      </c>
      <c r="D48" s="23">
        <v>612</v>
      </c>
      <c r="E48" s="23">
        <v>603</v>
      </c>
      <c r="F48" s="23">
        <v>844</v>
      </c>
      <c r="G48" s="26">
        <v>100</v>
      </c>
      <c r="H48" s="26">
        <v>132.41999999999999</v>
      </c>
      <c r="I48" s="96">
        <f t="shared" si="19"/>
        <v>139.72602739726028</v>
      </c>
      <c r="J48" s="96">
        <f t="shared" si="20"/>
        <v>137.67123287671234</v>
      </c>
      <c r="K48" s="96">
        <f t="shared" si="21"/>
        <v>192.69406392694063</v>
      </c>
      <c r="L48" s="107"/>
    </row>
    <row r="49" spans="1:12" ht="13.2">
      <c r="A49" s="95" t="s">
        <v>95</v>
      </c>
      <c r="B49" s="23">
        <v>17</v>
      </c>
      <c r="C49" s="23">
        <v>13</v>
      </c>
      <c r="D49" s="23">
        <v>12</v>
      </c>
      <c r="E49" s="23">
        <v>12</v>
      </c>
      <c r="F49" s="23">
        <v>23</v>
      </c>
      <c r="G49" s="26">
        <v>100</v>
      </c>
      <c r="H49" s="26">
        <v>76.47</v>
      </c>
      <c r="I49" s="96">
        <f t="shared" si="19"/>
        <v>70.588235294117652</v>
      </c>
      <c r="J49" s="96">
        <f t="shared" si="20"/>
        <v>70.588235294117652</v>
      </c>
      <c r="K49" s="96">
        <f t="shared" si="21"/>
        <v>135.29411764705884</v>
      </c>
      <c r="L49" s="107"/>
    </row>
    <row r="50" spans="1:12" ht="13.2">
      <c r="A50" s="119" t="s">
        <v>205</v>
      </c>
      <c r="B50" s="43">
        <v>13640</v>
      </c>
      <c r="C50" s="43">
        <v>14647</v>
      </c>
      <c r="D50" s="43">
        <v>16049</v>
      </c>
      <c r="E50" s="43">
        <v>20296</v>
      </c>
      <c r="F50" s="43">
        <v>20899</v>
      </c>
      <c r="G50" s="47">
        <v>100</v>
      </c>
      <c r="H50" s="47">
        <v>107.5</v>
      </c>
      <c r="I50" s="120">
        <f t="shared" si="19"/>
        <v>117.66129032258064</v>
      </c>
      <c r="J50" s="120">
        <f t="shared" si="20"/>
        <v>148.7976539589443</v>
      </c>
      <c r="K50" s="120">
        <f t="shared" si="21"/>
        <v>153.21847507331378</v>
      </c>
      <c r="L50" s="186"/>
    </row>
    <row r="51" spans="1:12" ht="13.2">
      <c r="A51" s="80" t="s">
        <v>209</v>
      </c>
      <c r="B51" s="63">
        <v>68116</v>
      </c>
      <c r="C51" s="63">
        <v>69737</v>
      </c>
      <c r="D51" s="63">
        <v>71825</v>
      </c>
      <c r="E51" s="63">
        <v>77076</v>
      </c>
      <c r="F51" s="63">
        <v>78313</v>
      </c>
      <c r="G51" s="80">
        <v>100</v>
      </c>
      <c r="H51" s="80">
        <v>102.39</v>
      </c>
      <c r="I51" s="129">
        <f t="shared" si="19"/>
        <v>105.44512302542721</v>
      </c>
      <c r="J51" s="129">
        <f t="shared" si="20"/>
        <v>113.15403135827118</v>
      </c>
      <c r="K51" s="129">
        <f t="shared" si="21"/>
        <v>114.97005108931822</v>
      </c>
      <c r="L51" s="188"/>
    </row>
    <row r="55" spans="1:12" ht="13.8">
      <c r="A55" s="252" t="s">
        <v>334</v>
      </c>
      <c r="B55" s="247"/>
      <c r="C55" s="248"/>
    </row>
    <row r="57" spans="1:12" ht="13.2">
      <c r="A57" s="29"/>
      <c r="B57" s="25"/>
      <c r="C57" s="25"/>
      <c r="D57" s="25"/>
      <c r="E57" s="25"/>
      <c r="F57" s="25"/>
      <c r="G57" s="29"/>
      <c r="H57" s="29"/>
      <c r="I57" s="29"/>
      <c r="J57" s="29"/>
      <c r="K57" s="29"/>
    </row>
    <row r="58" spans="1:12" ht="13.2">
      <c r="A58" s="266" t="s">
        <v>337</v>
      </c>
      <c r="B58" s="250"/>
      <c r="C58" s="250"/>
      <c r="D58" s="25"/>
      <c r="E58" s="25"/>
      <c r="F58" s="25"/>
      <c r="G58" s="29"/>
      <c r="H58" s="29"/>
      <c r="I58" s="29"/>
      <c r="J58" s="29"/>
      <c r="K58" s="29"/>
    </row>
    <row r="59" spans="1:12" ht="13.2">
      <c r="A59" s="267" t="s">
        <v>338</v>
      </c>
      <c r="B59" s="250"/>
      <c r="C59" s="250"/>
      <c r="D59" s="25"/>
      <c r="E59" s="25"/>
      <c r="F59" s="25"/>
      <c r="J59" s="5"/>
    </row>
    <row r="60" spans="1:12" ht="15.6">
      <c r="A60" s="266" t="s">
        <v>340</v>
      </c>
      <c r="B60" s="250"/>
      <c r="C60" s="250"/>
      <c r="D60" s="11"/>
      <c r="E60" s="11"/>
      <c r="F60" s="11"/>
      <c r="G60" s="11"/>
      <c r="H60" s="11"/>
      <c r="I60" s="11"/>
      <c r="J60" s="11"/>
      <c r="K60" s="11"/>
    </row>
    <row r="61" spans="1:12" ht="13.8">
      <c r="A61" s="266" t="s">
        <v>341</v>
      </c>
      <c r="B61" s="250"/>
      <c r="C61" s="250"/>
      <c r="D61" s="189"/>
      <c r="E61" s="189"/>
      <c r="F61" s="189"/>
      <c r="G61" s="54"/>
      <c r="H61" s="54"/>
      <c r="I61" s="54"/>
      <c r="J61" s="54"/>
      <c r="K61" s="54"/>
    </row>
    <row r="62" spans="1:12" ht="13.2">
      <c r="A62" s="266" t="s">
        <v>343</v>
      </c>
      <c r="B62" s="250"/>
      <c r="C62" s="250"/>
      <c r="D62" s="191"/>
      <c r="E62" s="191"/>
      <c r="F62" s="191"/>
      <c r="G62" s="5"/>
      <c r="H62" s="5"/>
      <c r="I62" s="5"/>
      <c r="J62" s="5"/>
      <c r="K62" s="5"/>
    </row>
    <row r="63" spans="1:12" ht="13.2">
      <c r="A63" s="266" t="s">
        <v>344</v>
      </c>
      <c r="B63" s="250"/>
      <c r="C63" s="250"/>
      <c r="D63" s="25"/>
      <c r="E63" s="25"/>
      <c r="F63" s="25"/>
      <c r="G63" s="29"/>
      <c r="H63" s="29"/>
      <c r="I63" s="29"/>
      <c r="J63" s="29"/>
      <c r="K63" s="29"/>
    </row>
    <row r="64" spans="1:12" ht="13.2">
      <c r="A64" s="266" t="s">
        <v>345</v>
      </c>
      <c r="B64" s="250"/>
      <c r="C64" s="250"/>
      <c r="D64" s="29"/>
      <c r="E64" s="29"/>
      <c r="F64" s="29"/>
      <c r="G64" s="29"/>
      <c r="H64" s="29"/>
      <c r="I64" s="29"/>
      <c r="J64" s="29"/>
      <c r="K64" s="29"/>
    </row>
    <row r="65" spans="1:12" ht="13.2">
      <c r="A65" s="29"/>
      <c r="B65" s="29"/>
      <c r="C65" s="29"/>
      <c r="D65" s="29"/>
      <c r="E65" s="29"/>
      <c r="F65" s="29"/>
      <c r="G65" s="29"/>
      <c r="H65" s="29"/>
      <c r="I65" s="29"/>
      <c r="J65" s="29"/>
      <c r="K65" s="29"/>
    </row>
    <row r="66" spans="1:12" ht="13.2">
      <c r="A66" s="5"/>
      <c r="B66" s="37"/>
      <c r="C66" s="5"/>
      <c r="D66" s="5"/>
      <c r="E66" s="5"/>
      <c r="F66" s="5"/>
      <c r="G66" s="5"/>
      <c r="H66" s="5"/>
      <c r="I66" s="5"/>
      <c r="J66" s="5"/>
      <c r="K66" s="5"/>
    </row>
    <row r="67" spans="1:12" ht="13.2">
      <c r="A67" s="29"/>
      <c r="G67" s="29"/>
      <c r="H67" s="29"/>
      <c r="I67" s="29"/>
      <c r="J67" s="29"/>
      <c r="K67" s="29"/>
    </row>
    <row r="68" spans="1:12" ht="13.2">
      <c r="A68" s="5"/>
    </row>
    <row r="69" spans="1:12" ht="13.2">
      <c r="A69" s="29"/>
      <c r="B69" s="29"/>
      <c r="C69" s="29"/>
      <c r="D69" s="29"/>
      <c r="E69" s="29"/>
      <c r="F69" s="29"/>
      <c r="G69" s="29"/>
      <c r="H69" s="29"/>
      <c r="I69" s="29"/>
      <c r="J69" s="29"/>
      <c r="K69" s="29"/>
    </row>
    <row r="70" spans="1:12" ht="13.2">
      <c r="A70" s="29"/>
      <c r="B70" s="25"/>
      <c r="C70" s="25"/>
      <c r="D70" s="25"/>
      <c r="E70" s="25"/>
      <c r="F70" s="25"/>
      <c r="G70" s="29"/>
      <c r="H70" s="29"/>
      <c r="I70" s="29"/>
      <c r="J70" s="5" t="s">
        <v>0</v>
      </c>
      <c r="K70" s="29"/>
    </row>
    <row r="71" spans="1:12" ht="15.6">
      <c r="A71" s="264" t="s">
        <v>349</v>
      </c>
      <c r="B71" s="247"/>
      <c r="C71" s="247"/>
      <c r="D71" s="247"/>
      <c r="E71" s="247"/>
      <c r="F71" s="247"/>
      <c r="G71" s="247"/>
      <c r="H71" s="247"/>
      <c r="I71" s="247"/>
      <c r="J71" s="247"/>
      <c r="K71" s="247"/>
      <c r="L71" s="248"/>
    </row>
    <row r="72" spans="1:12" ht="13.8">
      <c r="A72" s="58" t="s">
        <v>4</v>
      </c>
      <c r="B72" s="268" t="s">
        <v>117</v>
      </c>
      <c r="C72" s="247"/>
      <c r="D72" s="247"/>
      <c r="E72" s="247"/>
      <c r="F72" s="248"/>
      <c r="G72" s="260" t="s">
        <v>175</v>
      </c>
      <c r="H72" s="247"/>
      <c r="I72" s="247"/>
      <c r="J72" s="247"/>
      <c r="K72" s="248"/>
      <c r="L72" s="192"/>
    </row>
    <row r="73" spans="1:12" ht="13.2">
      <c r="A73" s="59"/>
      <c r="B73" s="195" t="s">
        <v>177</v>
      </c>
      <c r="C73" s="195" t="s">
        <v>179</v>
      </c>
      <c r="D73" s="195" t="s">
        <v>180</v>
      </c>
      <c r="E73" s="195" t="s">
        <v>6</v>
      </c>
      <c r="F73" s="195" t="s">
        <v>7</v>
      </c>
      <c r="G73" s="61" t="s">
        <v>177</v>
      </c>
      <c r="H73" s="61" t="s">
        <v>179</v>
      </c>
      <c r="I73" s="61" t="s">
        <v>180</v>
      </c>
      <c r="J73" s="61" t="s">
        <v>6</v>
      </c>
      <c r="K73" s="92" t="s">
        <v>7</v>
      </c>
      <c r="L73" s="61" t="s">
        <v>176</v>
      </c>
    </row>
    <row r="74" spans="1:12" ht="13.2">
      <c r="A74" s="93" t="s">
        <v>121</v>
      </c>
      <c r="B74" s="52"/>
      <c r="C74" s="52"/>
      <c r="D74" s="52"/>
      <c r="E74" s="52"/>
      <c r="F74" s="52"/>
      <c r="G74" s="200"/>
      <c r="H74" s="200"/>
      <c r="I74" s="200"/>
      <c r="J74" s="200"/>
      <c r="K74" s="200"/>
      <c r="L74" s="94"/>
    </row>
    <row r="75" spans="1:12" ht="13.2">
      <c r="A75" s="95" t="s">
        <v>251</v>
      </c>
      <c r="B75" s="26">
        <v>45996</v>
      </c>
      <c r="C75" s="26">
        <v>51193</v>
      </c>
      <c r="D75" s="26">
        <v>59144</v>
      </c>
      <c r="E75" s="26">
        <v>60469</v>
      </c>
      <c r="F75" s="26">
        <v>61469</v>
      </c>
      <c r="G75" s="26">
        <v>100</v>
      </c>
      <c r="H75" s="26">
        <v>111.36</v>
      </c>
      <c r="I75" s="26">
        <v>128.6</v>
      </c>
      <c r="J75" s="26">
        <v>131.47999999999999</v>
      </c>
      <c r="K75" s="26">
        <v>133.69</v>
      </c>
      <c r="L75" s="205"/>
    </row>
    <row r="76" spans="1:12" ht="13.2">
      <c r="A76" s="95" t="s">
        <v>252</v>
      </c>
      <c r="B76" s="26">
        <v>513</v>
      </c>
      <c r="C76" s="26">
        <v>393</v>
      </c>
      <c r="D76" s="26">
        <v>640</v>
      </c>
      <c r="E76" s="26">
        <v>973</v>
      </c>
      <c r="F76" s="26">
        <v>1177</v>
      </c>
      <c r="G76" s="26">
        <v>100</v>
      </c>
      <c r="H76" s="26">
        <v>76.62</v>
      </c>
      <c r="I76" s="26">
        <v>124.56</v>
      </c>
      <c r="J76" s="26">
        <v>189.66</v>
      </c>
      <c r="K76" s="26">
        <v>229.62</v>
      </c>
      <c r="L76" s="205"/>
    </row>
    <row r="77" spans="1:12" ht="13.2">
      <c r="A77" s="102" t="s">
        <v>126</v>
      </c>
      <c r="B77" s="31">
        <f>SUM(B75:B76)</f>
        <v>46509</v>
      </c>
      <c r="C77" s="30">
        <v>51586</v>
      </c>
      <c r="D77" s="30">
        <v>59784</v>
      </c>
      <c r="E77" s="30">
        <v>61442</v>
      </c>
      <c r="F77" s="30">
        <v>62646</v>
      </c>
      <c r="G77" s="30">
        <v>100</v>
      </c>
      <c r="H77" s="30">
        <v>111</v>
      </c>
      <c r="I77" s="30">
        <v>128.49</v>
      </c>
      <c r="J77" s="30">
        <v>132.16</v>
      </c>
      <c r="K77" s="30">
        <v>134.62</v>
      </c>
      <c r="L77" s="205"/>
    </row>
    <row r="78" spans="1:12" ht="13.2">
      <c r="A78" s="95"/>
      <c r="B78" s="27"/>
      <c r="C78" s="27"/>
      <c r="D78" s="27"/>
      <c r="E78" s="27"/>
      <c r="F78" s="27"/>
      <c r="G78" s="26"/>
      <c r="H78" s="26"/>
      <c r="I78" s="26"/>
      <c r="J78" s="26"/>
      <c r="K78" s="26"/>
      <c r="L78" s="205"/>
    </row>
    <row r="79" spans="1:12" ht="13.2">
      <c r="A79" s="102" t="s">
        <v>127</v>
      </c>
      <c r="B79" s="27"/>
      <c r="C79" s="27"/>
      <c r="D79" s="27"/>
      <c r="E79" s="27"/>
      <c r="F79" s="27"/>
      <c r="G79" s="27"/>
      <c r="H79" s="27"/>
      <c r="I79" s="27"/>
      <c r="J79" s="27"/>
      <c r="K79" s="27"/>
      <c r="L79" s="205"/>
    </row>
    <row r="80" spans="1:12" ht="13.2">
      <c r="A80" s="95" t="s">
        <v>27</v>
      </c>
      <c r="B80" s="26">
        <v>14951</v>
      </c>
      <c r="C80" s="26">
        <v>15869</v>
      </c>
      <c r="D80" s="26">
        <v>19229</v>
      </c>
      <c r="E80" s="26">
        <v>17791</v>
      </c>
      <c r="F80" s="26">
        <v>17698</v>
      </c>
      <c r="G80" s="26">
        <v>100</v>
      </c>
      <c r="H80" s="26">
        <v>106.11</v>
      </c>
      <c r="I80" s="26">
        <v>128.63</v>
      </c>
      <c r="J80" s="26">
        <v>118.97</v>
      </c>
      <c r="K80" s="26">
        <v>118.39</v>
      </c>
      <c r="L80" s="205"/>
    </row>
    <row r="81" spans="1:12" ht="13.2">
      <c r="A81" s="95" t="s">
        <v>28</v>
      </c>
      <c r="B81" s="26">
        <v>7117</v>
      </c>
      <c r="C81" s="26">
        <v>9274</v>
      </c>
      <c r="D81" s="26">
        <v>11968</v>
      </c>
      <c r="E81" s="26">
        <v>11544</v>
      </c>
      <c r="F81" s="26">
        <v>12584</v>
      </c>
      <c r="G81" s="26">
        <v>100</v>
      </c>
      <c r="H81" s="26">
        <v>129.94999999999999</v>
      </c>
      <c r="I81" s="26">
        <v>168.1</v>
      </c>
      <c r="J81" s="26">
        <v>162.16</v>
      </c>
      <c r="K81" s="26">
        <v>176.51</v>
      </c>
      <c r="L81" s="205"/>
    </row>
    <row r="82" spans="1:12" ht="13.2">
      <c r="A82" s="95" t="s">
        <v>414</v>
      </c>
      <c r="B82" s="26">
        <v>-391</v>
      </c>
      <c r="C82" s="26">
        <v>-19</v>
      </c>
      <c r="D82" s="26">
        <v>-53</v>
      </c>
      <c r="E82" s="26">
        <v>-8</v>
      </c>
      <c r="F82" s="26">
        <v>-106</v>
      </c>
      <c r="G82" s="26">
        <v>100</v>
      </c>
      <c r="H82" s="26">
        <v>4.8600000000000003</v>
      </c>
      <c r="I82" s="26">
        <v>13.56</v>
      </c>
      <c r="J82" s="26">
        <v>2.04</v>
      </c>
      <c r="K82" s="26">
        <v>27.11</v>
      </c>
      <c r="L82" s="205"/>
    </row>
    <row r="83" spans="1:12" ht="13.2">
      <c r="A83" s="95" t="s">
        <v>32</v>
      </c>
      <c r="B83" s="26">
        <v>2229</v>
      </c>
      <c r="C83" s="26">
        <v>2399</v>
      </c>
      <c r="D83" s="26">
        <v>2665</v>
      </c>
      <c r="E83" s="26">
        <v>2782</v>
      </c>
      <c r="F83" s="26">
        <v>2840</v>
      </c>
      <c r="G83" s="26">
        <v>100</v>
      </c>
      <c r="H83" s="26">
        <v>107.61</v>
      </c>
      <c r="I83" s="26">
        <v>119.57</v>
      </c>
      <c r="J83" s="26">
        <v>124.94</v>
      </c>
      <c r="K83" s="26">
        <v>127.49</v>
      </c>
      <c r="L83" s="205"/>
    </row>
    <row r="84" spans="1:12" ht="13.2">
      <c r="A84" s="95" t="s">
        <v>33</v>
      </c>
      <c r="B84" s="26">
        <v>108</v>
      </c>
      <c r="C84" s="26">
        <v>98</v>
      </c>
      <c r="D84" s="26">
        <v>101</v>
      </c>
      <c r="E84" s="26">
        <v>302</v>
      </c>
      <c r="F84" s="26">
        <v>364</v>
      </c>
      <c r="G84" s="26">
        <v>100</v>
      </c>
      <c r="H84" s="26">
        <v>90.74</v>
      </c>
      <c r="I84" s="26">
        <v>93.52</v>
      </c>
      <c r="J84" s="26">
        <v>279.63</v>
      </c>
      <c r="K84" s="26">
        <v>337.04</v>
      </c>
      <c r="L84" s="205"/>
    </row>
    <row r="85" spans="1:12" ht="13.2">
      <c r="A85" s="95" t="s">
        <v>253</v>
      </c>
      <c r="B85" s="26">
        <v>1012</v>
      </c>
      <c r="C85" s="26">
        <v>1025</v>
      </c>
      <c r="D85" s="26">
        <v>1030</v>
      </c>
      <c r="E85" s="26">
        <v>1097</v>
      </c>
      <c r="F85" s="26">
        <v>1224</v>
      </c>
      <c r="G85" s="26">
        <v>100</v>
      </c>
      <c r="H85" s="26">
        <v>101.28</v>
      </c>
      <c r="I85" s="26">
        <v>101.78</v>
      </c>
      <c r="J85" s="26">
        <v>108.41</v>
      </c>
      <c r="K85" s="26">
        <v>120.85</v>
      </c>
      <c r="L85" s="205"/>
    </row>
    <row r="86" spans="1:12" ht="13.2">
      <c r="A86" s="95" t="s">
        <v>35</v>
      </c>
      <c r="B86" s="26">
        <v>10766</v>
      </c>
      <c r="C86" s="26">
        <v>11167</v>
      </c>
      <c r="D86" s="26">
        <v>11703</v>
      </c>
      <c r="E86" s="26">
        <v>14170</v>
      </c>
      <c r="F86" s="26">
        <v>14164</v>
      </c>
      <c r="G86" s="26">
        <v>100</v>
      </c>
      <c r="H86" s="26">
        <v>103.75</v>
      </c>
      <c r="I86" s="26">
        <v>108.68</v>
      </c>
      <c r="J86" s="26">
        <v>131.80000000000001</v>
      </c>
      <c r="K86" s="26">
        <v>131.52000000000001</v>
      </c>
      <c r="L86" s="205"/>
    </row>
    <row r="87" spans="1:12" ht="13.2">
      <c r="A87" s="102" t="s">
        <v>147</v>
      </c>
      <c r="B87" s="31">
        <f t="shared" ref="B87:F87" si="22">SUM(B80:B86)</f>
        <v>35792</v>
      </c>
      <c r="C87" s="31">
        <f t="shared" si="22"/>
        <v>39813</v>
      </c>
      <c r="D87" s="31">
        <f t="shared" si="22"/>
        <v>46643</v>
      </c>
      <c r="E87" s="31">
        <f t="shared" si="22"/>
        <v>47678</v>
      </c>
      <c r="F87" s="31">
        <f t="shared" si="22"/>
        <v>48768</v>
      </c>
      <c r="G87" s="30">
        <v>100</v>
      </c>
      <c r="H87" s="30">
        <v>111.26</v>
      </c>
      <c r="I87" s="30">
        <v>130.24</v>
      </c>
      <c r="J87" s="30">
        <v>133.26</v>
      </c>
      <c r="K87" s="30">
        <v>136.25</v>
      </c>
      <c r="L87" s="205"/>
    </row>
    <row r="88" spans="1:12" ht="13.2">
      <c r="A88" s="102" t="s">
        <v>453</v>
      </c>
      <c r="B88" s="23">
        <v>10490</v>
      </c>
      <c r="C88" s="23">
        <v>11739</v>
      </c>
      <c r="D88" s="23">
        <v>13141</v>
      </c>
      <c r="E88" s="23">
        <v>13764</v>
      </c>
      <c r="F88" s="23">
        <v>13878</v>
      </c>
      <c r="G88" s="26">
        <v>100</v>
      </c>
      <c r="H88" s="26">
        <v>112</v>
      </c>
      <c r="I88" s="26">
        <v>124.76</v>
      </c>
      <c r="J88" s="26">
        <v>130.34</v>
      </c>
      <c r="K88" s="26">
        <v>136.36000000000001</v>
      </c>
      <c r="L88" s="205"/>
    </row>
    <row r="89" spans="1:12" ht="13.2">
      <c r="A89" s="95" t="s">
        <v>455</v>
      </c>
      <c r="B89" s="26">
        <v>-2458</v>
      </c>
      <c r="C89" s="26">
        <v>-2778</v>
      </c>
      <c r="D89" s="26">
        <v>-2922</v>
      </c>
      <c r="E89" s="26">
        <v>-3446</v>
      </c>
      <c r="F89" s="26">
        <v>-3525</v>
      </c>
      <c r="G89" s="26">
        <v>100</v>
      </c>
      <c r="H89" s="26">
        <v>113.11</v>
      </c>
      <c r="I89" s="26">
        <v>118.95</v>
      </c>
      <c r="J89" s="26">
        <v>140.32</v>
      </c>
      <c r="K89" s="26">
        <v>143.38999999999999</v>
      </c>
      <c r="L89" s="205"/>
    </row>
    <row r="90" spans="1:12" ht="13.2">
      <c r="A90" s="119" t="s">
        <v>457</v>
      </c>
      <c r="B90" s="47">
        <v>-78</v>
      </c>
      <c r="C90" s="47">
        <v>-143</v>
      </c>
      <c r="D90" s="47">
        <v>-195</v>
      </c>
      <c r="E90" s="47">
        <v>-115</v>
      </c>
      <c r="F90" s="47">
        <v>-131</v>
      </c>
      <c r="G90" s="47">
        <v>100</v>
      </c>
      <c r="H90" s="47">
        <v>81.61</v>
      </c>
      <c r="I90" s="47">
        <v>55.64</v>
      </c>
      <c r="J90" s="47">
        <v>39.26</v>
      </c>
      <c r="K90" s="47">
        <v>32.06</v>
      </c>
      <c r="L90" s="223"/>
    </row>
    <row r="91" spans="1:12" ht="13.2">
      <c r="A91" s="224" t="s">
        <v>460</v>
      </c>
      <c r="B91" s="224">
        <v>7954</v>
      </c>
      <c r="C91" s="224">
        <v>8818</v>
      </c>
      <c r="D91" s="224">
        <v>9962</v>
      </c>
      <c r="E91" s="224">
        <v>10114</v>
      </c>
      <c r="F91" s="224">
        <v>10644</v>
      </c>
      <c r="G91" s="224">
        <v>100</v>
      </c>
      <c r="H91" s="224">
        <v>110.94</v>
      </c>
      <c r="I91" s="224">
        <v>125.27</v>
      </c>
      <c r="J91" s="224">
        <v>127.1</v>
      </c>
      <c r="K91" s="225">
        <v>133.84</v>
      </c>
      <c r="L91" s="226"/>
    </row>
    <row r="95" spans="1:12" ht="13.8">
      <c r="A95" s="252" t="s">
        <v>103</v>
      </c>
      <c r="B95" s="247"/>
      <c r="C95" s="248"/>
    </row>
    <row r="98" spans="1:3" ht="13.2">
      <c r="A98" s="266" t="s">
        <v>465</v>
      </c>
      <c r="B98" s="250"/>
      <c r="C98" s="250"/>
    </row>
    <row r="99" spans="1:3" ht="13.2">
      <c r="A99" s="266" t="s">
        <v>466</v>
      </c>
      <c r="B99" s="250"/>
      <c r="C99" s="250"/>
    </row>
    <row r="100" spans="1:3" ht="13.2">
      <c r="A100" s="266" t="s">
        <v>467</v>
      </c>
      <c r="B100" s="250"/>
      <c r="C100" s="250"/>
    </row>
    <row r="101" spans="1:3" ht="13.2">
      <c r="A101" s="266" t="s">
        <v>468</v>
      </c>
      <c r="B101" s="250"/>
      <c r="C101" s="250"/>
    </row>
    <row r="102" spans="1:3" ht="13.2">
      <c r="A102" s="266" t="s">
        <v>469</v>
      </c>
      <c r="B102" s="250"/>
      <c r="C102" s="250"/>
    </row>
    <row r="103" spans="1:3" ht="13.2">
      <c r="A103" s="266" t="s">
        <v>470</v>
      </c>
      <c r="B103" s="250"/>
      <c r="C103" s="250"/>
    </row>
    <row r="132" spans="1:11" ht="13.2">
      <c r="B132" s="25"/>
      <c r="C132" s="25"/>
      <c r="D132" s="25"/>
      <c r="E132" s="25"/>
      <c r="F132" s="25"/>
      <c r="J132" s="5"/>
    </row>
    <row r="133" spans="1:11" ht="15.6">
      <c r="A133" s="265"/>
      <c r="B133" s="250"/>
      <c r="C133" s="250"/>
      <c r="D133" s="250"/>
      <c r="E133" s="250"/>
      <c r="F133" s="250"/>
      <c r="G133" s="250"/>
      <c r="H133" s="250"/>
      <c r="I133" s="250"/>
      <c r="J133" s="250"/>
      <c r="K133" s="250"/>
    </row>
    <row r="134" spans="1:11" ht="13.8">
      <c r="A134" s="113"/>
      <c r="B134" s="269"/>
      <c r="C134" s="250"/>
      <c r="D134" s="250"/>
      <c r="E134" s="250"/>
      <c r="F134" s="250"/>
      <c r="G134" s="263"/>
      <c r="H134" s="250"/>
      <c r="I134" s="250"/>
      <c r="J134" s="250"/>
      <c r="K134" s="250"/>
    </row>
    <row r="135" spans="1:11" ht="13.2">
      <c r="A135" s="29"/>
      <c r="B135" s="191"/>
      <c r="C135" s="191"/>
      <c r="D135" s="191"/>
      <c r="E135" s="191"/>
      <c r="F135" s="191"/>
      <c r="G135" s="5"/>
      <c r="H135" s="5"/>
      <c r="I135" s="5"/>
      <c r="J135" s="5"/>
      <c r="K135" s="5"/>
    </row>
    <row r="136" spans="1:11" ht="13.2">
      <c r="A136" s="5"/>
      <c r="B136" s="25"/>
      <c r="C136" s="25"/>
      <c r="D136" s="25"/>
      <c r="E136" s="25"/>
      <c r="F136" s="25"/>
      <c r="G136" s="29"/>
      <c r="H136" s="29"/>
      <c r="I136" s="29"/>
      <c r="J136" s="29"/>
      <c r="K136" s="29"/>
    </row>
    <row r="137" spans="1:11" ht="13.2">
      <c r="A137" s="29"/>
      <c r="B137" s="29"/>
      <c r="C137" s="29"/>
      <c r="D137" s="29"/>
      <c r="E137" s="29"/>
      <c r="F137" s="29"/>
      <c r="G137" s="29"/>
      <c r="H137" s="29"/>
      <c r="I137" s="29"/>
      <c r="J137" s="29"/>
      <c r="K137" s="29"/>
    </row>
    <row r="138" spans="1:11" ht="13.2">
      <c r="A138" s="29"/>
      <c r="B138" s="29"/>
      <c r="C138" s="29"/>
      <c r="D138" s="29"/>
      <c r="E138" s="29"/>
      <c r="F138" s="29"/>
      <c r="G138" s="29"/>
      <c r="H138" s="29"/>
      <c r="I138" s="29"/>
      <c r="J138" s="29"/>
      <c r="K138" s="29"/>
    </row>
    <row r="139" spans="1:11" ht="13.2">
      <c r="A139" s="5"/>
      <c r="B139" s="37"/>
      <c r="C139" s="5"/>
      <c r="D139" s="5"/>
      <c r="E139" s="5"/>
      <c r="F139" s="5"/>
      <c r="G139" s="5"/>
      <c r="H139" s="5"/>
      <c r="I139" s="5"/>
      <c r="J139" s="5"/>
      <c r="K139" s="5"/>
    </row>
    <row r="140" spans="1:11" ht="13.2">
      <c r="A140" s="29"/>
      <c r="G140" s="29"/>
      <c r="H140" s="29"/>
      <c r="I140" s="29"/>
      <c r="J140" s="29"/>
      <c r="K140" s="29"/>
    </row>
    <row r="141" spans="1:11" ht="13.2">
      <c r="A141" s="5"/>
    </row>
    <row r="142" spans="1:11" ht="13.2">
      <c r="A142" s="29"/>
      <c r="B142" s="29"/>
      <c r="C142" s="29"/>
      <c r="D142" s="29"/>
      <c r="E142" s="29"/>
      <c r="F142" s="29"/>
      <c r="G142" s="29"/>
      <c r="H142" s="29"/>
      <c r="I142" s="29"/>
      <c r="J142" s="29"/>
      <c r="K142" s="29"/>
    </row>
    <row r="143" spans="1:11" ht="13.2">
      <c r="A143" s="29"/>
      <c r="B143" s="29"/>
      <c r="C143" s="29"/>
      <c r="D143" s="29"/>
      <c r="E143" s="29"/>
      <c r="F143" s="29"/>
      <c r="G143" s="29"/>
      <c r="H143" s="29"/>
      <c r="I143" s="29"/>
      <c r="J143" s="29"/>
      <c r="K143" s="29"/>
    </row>
    <row r="144" spans="1:11" ht="13.2">
      <c r="A144" s="29"/>
      <c r="B144" s="29"/>
      <c r="C144" s="29"/>
      <c r="D144" s="29"/>
      <c r="E144" s="29"/>
      <c r="F144" s="29"/>
      <c r="G144" s="29"/>
      <c r="H144" s="29"/>
      <c r="I144" s="29"/>
      <c r="J144" s="29"/>
      <c r="K144" s="29"/>
    </row>
    <row r="145" spans="1:11" ht="13.2">
      <c r="A145" s="29"/>
      <c r="B145" s="29"/>
      <c r="C145" s="29"/>
      <c r="D145" s="29"/>
      <c r="E145" s="29"/>
      <c r="F145" s="29"/>
      <c r="G145" s="29"/>
      <c r="H145" s="29"/>
      <c r="I145" s="29"/>
      <c r="J145" s="29"/>
      <c r="K145" s="29"/>
    </row>
    <row r="146" spans="1:11" ht="13.2">
      <c r="A146" s="29"/>
      <c r="B146" s="29"/>
      <c r="C146" s="29"/>
      <c r="D146" s="29"/>
      <c r="E146" s="29"/>
      <c r="F146" s="29"/>
      <c r="G146" s="29"/>
      <c r="H146" s="29"/>
      <c r="I146" s="29"/>
      <c r="J146" s="29"/>
      <c r="K146" s="29"/>
    </row>
    <row r="147" spans="1:11" ht="13.2">
      <c r="A147" s="29"/>
      <c r="B147" s="29"/>
      <c r="C147" s="29"/>
      <c r="D147" s="29"/>
      <c r="E147" s="29"/>
      <c r="F147" s="29"/>
      <c r="G147" s="29"/>
      <c r="H147" s="29"/>
      <c r="I147" s="29"/>
      <c r="J147" s="29"/>
      <c r="K147" s="29"/>
    </row>
    <row r="148" spans="1:11" ht="13.2">
      <c r="A148" s="29"/>
      <c r="B148" s="29"/>
      <c r="C148" s="29"/>
      <c r="D148" s="29"/>
      <c r="E148" s="29"/>
      <c r="F148" s="29"/>
      <c r="G148" s="29"/>
      <c r="H148" s="29"/>
      <c r="I148" s="29"/>
      <c r="J148" s="29"/>
      <c r="K148" s="29"/>
    </row>
    <row r="149" spans="1:11" ht="13.2">
      <c r="A149" s="5"/>
      <c r="B149" s="37"/>
      <c r="C149" s="37"/>
      <c r="D149" s="37"/>
      <c r="E149" s="37"/>
      <c r="F149" s="37"/>
      <c r="G149" s="5"/>
      <c r="H149" s="5"/>
      <c r="I149" s="5"/>
      <c r="J149" s="5"/>
      <c r="K149" s="5"/>
    </row>
    <row r="150" spans="1:11" ht="13.2">
      <c r="A150" s="5"/>
      <c r="B150" s="25"/>
      <c r="C150" s="25"/>
      <c r="D150" s="25"/>
      <c r="E150" s="25"/>
      <c r="F150" s="25"/>
      <c r="G150" s="29"/>
      <c r="H150" s="29"/>
      <c r="I150" s="29"/>
      <c r="J150" s="29"/>
      <c r="K150" s="29"/>
    </row>
    <row r="151" spans="1:11" ht="13.2">
      <c r="A151" s="29"/>
      <c r="B151" s="29"/>
      <c r="C151" s="29"/>
      <c r="D151" s="29"/>
      <c r="E151" s="29"/>
      <c r="F151" s="29"/>
      <c r="G151" s="29"/>
      <c r="H151" s="29"/>
      <c r="I151" s="29"/>
      <c r="J151" s="29"/>
      <c r="K151" s="29"/>
    </row>
    <row r="152" spans="1:11" ht="13.2">
      <c r="A152" s="29"/>
      <c r="B152" s="29"/>
      <c r="C152" s="29"/>
      <c r="D152" s="29"/>
      <c r="E152" s="29"/>
      <c r="F152" s="29"/>
      <c r="G152" s="29"/>
      <c r="H152" s="29"/>
      <c r="I152" s="29"/>
      <c r="J152" s="29"/>
      <c r="K152" s="29"/>
    </row>
    <row r="153" spans="1:11" ht="13.2">
      <c r="A153" s="5"/>
      <c r="B153" s="5"/>
      <c r="C153" s="5"/>
      <c r="D153" s="5"/>
      <c r="E153" s="5"/>
      <c r="F153" s="5"/>
      <c r="G153" s="5"/>
      <c r="H153" s="5"/>
      <c r="I153" s="5"/>
      <c r="J153" s="5"/>
      <c r="K153" s="5"/>
    </row>
  </sheetData>
  <mergeCells count="24">
    <mergeCell ref="B134:F134"/>
    <mergeCell ref="G134:K134"/>
    <mergeCell ref="A95:C95"/>
    <mergeCell ref="A98:C98"/>
    <mergeCell ref="A99:C99"/>
    <mergeCell ref="A100:C100"/>
    <mergeCell ref="A101:C101"/>
    <mergeCell ref="A102:C102"/>
    <mergeCell ref="A103:C103"/>
    <mergeCell ref="A64:C64"/>
    <mergeCell ref="A71:L71"/>
    <mergeCell ref="B72:F72"/>
    <mergeCell ref="G72:K72"/>
    <mergeCell ref="A133:K133"/>
    <mergeCell ref="A59:C59"/>
    <mergeCell ref="A60:C60"/>
    <mergeCell ref="A61:C61"/>
    <mergeCell ref="A62:C62"/>
    <mergeCell ref="A63:C63"/>
    <mergeCell ref="A3:L3"/>
    <mergeCell ref="B4:F4"/>
    <mergeCell ref="G4:K4"/>
    <mergeCell ref="A55:C55"/>
    <mergeCell ref="A58:C58"/>
  </mergeCells>
  <pageMargins left="0.7" right="0.7" top="0.75" bottom="0.75" header="0.3" footer="0.3"/>
  <extLst>
    <ext xmlns:x14="http://schemas.microsoft.com/office/spreadsheetml/2009/9/main" uri="{05C60535-1F16-4fd2-B633-F4F36F0B64E0}">
      <x14:sparklineGroups xmlns:xm="http://schemas.microsoft.com/office/excel/2006/main">
        <x14:sparklineGroup lineWeight="2" displayEmptyCellsAs="gap" xr2:uid="{00000000-0003-0000-0500-000035000000}">
          <x14:colorSeries rgb="FF000000"/>
          <x14:sparklines>
            <x14:sparkline>
              <xm:f>'trend statements'!G91:K91</xm:f>
              <xm:sqref>L91</xm:sqref>
            </x14:sparkline>
          </x14:sparklines>
        </x14:sparklineGroup>
        <x14:sparklineGroup lineWeight="2" displayEmptyCellsAs="gap" xr2:uid="{00000000-0003-0000-0500-000034000000}">
          <x14:colorSeries rgb="FF000000"/>
          <x14:sparklines>
            <x14:sparkline>
              <xm:f>'trend statements'!G90:K90</xm:f>
              <xm:sqref>L90</xm:sqref>
            </x14:sparkline>
          </x14:sparklines>
        </x14:sparklineGroup>
        <x14:sparklineGroup lineWeight="2" displayEmptyCellsAs="gap" xr2:uid="{00000000-0003-0000-0500-000033000000}">
          <x14:colorSeries rgb="FF000000"/>
          <x14:sparklines>
            <x14:sparkline>
              <xm:f>'trend statements'!G89:K89</xm:f>
              <xm:sqref>L89</xm:sqref>
            </x14:sparkline>
          </x14:sparklines>
        </x14:sparklineGroup>
        <x14:sparklineGroup lineWeight="2" displayEmptyCellsAs="gap" xr2:uid="{00000000-0003-0000-0500-000032000000}">
          <x14:colorSeries rgb="FF000000"/>
          <x14:sparklines>
            <x14:sparkline>
              <xm:f>'trend statements'!G88:K88</xm:f>
              <xm:sqref>L88</xm:sqref>
            </x14:sparkline>
          </x14:sparklines>
        </x14:sparklineGroup>
        <x14:sparklineGroup lineWeight="2" displayEmptyCellsAs="gap" xr2:uid="{00000000-0003-0000-0500-000031000000}">
          <x14:colorSeries rgb="FF000000"/>
          <x14:sparklines>
            <x14:sparkline>
              <xm:f>'trend statements'!G87:K87</xm:f>
              <xm:sqref>L87</xm:sqref>
            </x14:sparkline>
          </x14:sparklines>
        </x14:sparklineGroup>
        <x14:sparklineGroup lineWeight="2" displayEmptyCellsAs="gap" xr2:uid="{00000000-0003-0000-0500-000030000000}">
          <x14:colorSeries rgb="FF000000"/>
          <x14:sparklines>
            <x14:sparkline>
              <xm:f>'trend statements'!G86:K86</xm:f>
              <xm:sqref>L86</xm:sqref>
            </x14:sparkline>
          </x14:sparklines>
        </x14:sparklineGroup>
        <x14:sparklineGroup lineWeight="2" displayEmptyCellsAs="gap" xr2:uid="{00000000-0003-0000-0500-00002F000000}">
          <x14:colorSeries rgb="FF000000"/>
          <x14:sparklines>
            <x14:sparkline>
              <xm:f>'trend statements'!G85:K85</xm:f>
              <xm:sqref>L85</xm:sqref>
            </x14:sparkline>
          </x14:sparklines>
        </x14:sparklineGroup>
        <x14:sparklineGroup lineWeight="2" displayEmptyCellsAs="gap" xr2:uid="{00000000-0003-0000-0500-00002E000000}">
          <x14:colorSeries rgb="FF000000"/>
          <x14:sparklines>
            <x14:sparkline>
              <xm:f>'trend statements'!G84:K84</xm:f>
              <xm:sqref>L84</xm:sqref>
            </x14:sparkline>
          </x14:sparklines>
        </x14:sparklineGroup>
        <x14:sparklineGroup lineWeight="2" displayEmptyCellsAs="gap" xr2:uid="{00000000-0003-0000-0500-00002D000000}">
          <x14:colorSeries rgb="FF000000"/>
          <x14:sparklines>
            <x14:sparkline>
              <xm:f>'trend statements'!G83:K83</xm:f>
              <xm:sqref>L83</xm:sqref>
            </x14:sparkline>
          </x14:sparklines>
        </x14:sparklineGroup>
        <x14:sparklineGroup lineWeight="2" displayEmptyCellsAs="gap" xr2:uid="{00000000-0003-0000-0500-00002C000000}">
          <x14:colorSeries rgb="FF000000"/>
          <x14:sparklines>
            <x14:sparkline>
              <xm:f>'trend statements'!G82:K82</xm:f>
              <xm:sqref>L82</xm:sqref>
            </x14:sparkline>
          </x14:sparklines>
        </x14:sparklineGroup>
        <x14:sparklineGroup lineWeight="2" displayEmptyCellsAs="gap" xr2:uid="{00000000-0003-0000-0500-00002B000000}">
          <x14:colorSeries rgb="FF000000"/>
          <x14:sparklines>
            <x14:sparkline>
              <xm:f>'trend statements'!G81:K81</xm:f>
              <xm:sqref>L81</xm:sqref>
            </x14:sparkline>
          </x14:sparklines>
        </x14:sparklineGroup>
        <x14:sparklineGroup lineWeight="2" displayEmptyCellsAs="gap" xr2:uid="{00000000-0003-0000-0500-00002A000000}">
          <x14:colorSeries rgb="FF000000"/>
          <x14:sparklines>
            <x14:sparkline>
              <xm:f>'trend statements'!G80:K80</xm:f>
              <xm:sqref>L80</xm:sqref>
            </x14:sparkline>
          </x14:sparklines>
        </x14:sparklineGroup>
        <x14:sparklineGroup lineWeight="2" displayEmptyCellsAs="gap" xr2:uid="{00000000-0003-0000-0500-000029000000}">
          <x14:colorSeries rgb="FF000000"/>
          <x14:sparklines>
            <x14:sparkline>
              <xm:f>'trend statements'!G77:K77</xm:f>
              <xm:sqref>L77</xm:sqref>
            </x14:sparkline>
          </x14:sparklines>
        </x14:sparklineGroup>
        <x14:sparklineGroup lineWeight="2" displayEmptyCellsAs="gap" xr2:uid="{00000000-0003-0000-0500-000028000000}">
          <x14:colorSeries rgb="FF000000"/>
          <x14:sparklines>
            <x14:sparkline>
              <xm:f>'trend statements'!G76:K76</xm:f>
              <xm:sqref>L76</xm:sqref>
            </x14:sparkline>
          </x14:sparklines>
        </x14:sparklineGroup>
        <x14:sparklineGroup lineWeight="2" displayEmptyCellsAs="gap" xr2:uid="{00000000-0003-0000-0500-000027000000}">
          <x14:colorSeries rgb="FF000000"/>
          <x14:sparklines>
            <x14:sparkline>
              <xm:f>'trend statements'!G75:K75</xm:f>
              <xm:sqref>L75</xm:sqref>
            </x14:sparkline>
          </x14:sparklines>
        </x14:sparklineGroup>
        <x14:sparklineGroup lineWeight="2" displayEmptyCellsAs="gap" xr2:uid="{00000000-0003-0000-0500-000026000000}">
          <x14:colorSeries rgb="FF00FF00"/>
          <x14:sparklines>
            <x14:sparkline>
              <xm:f>'trend statements'!G51:K51</xm:f>
              <xm:sqref>L51</xm:sqref>
            </x14:sparkline>
          </x14:sparklines>
        </x14:sparklineGroup>
        <x14:sparklineGroup lineWeight="2" displayEmptyCellsAs="gap" xr2:uid="{00000000-0003-0000-0500-000025000000}">
          <x14:colorSeries rgb="FF00FF00"/>
          <x14:sparklines>
            <x14:sparkline>
              <xm:f>'trend statements'!G50:K50</xm:f>
              <xm:sqref>L50</xm:sqref>
            </x14:sparkline>
          </x14:sparklines>
        </x14:sparklineGroup>
        <x14:sparklineGroup lineWeight="2" displayEmptyCellsAs="gap" xr2:uid="{00000000-0003-0000-0500-000024000000}">
          <x14:colorSeries rgb="FF00FF00"/>
          <x14:sparklines>
            <x14:sparkline>
              <xm:f>'trend statements'!G49:K49</xm:f>
              <xm:sqref>L49</xm:sqref>
            </x14:sparkline>
          </x14:sparklines>
        </x14:sparklineGroup>
        <x14:sparklineGroup lineWeight="2" displayEmptyCellsAs="gap" xr2:uid="{00000000-0003-0000-0500-000023000000}">
          <x14:colorSeries rgb="FF00FF00"/>
          <x14:sparklines>
            <x14:sparkline>
              <xm:f>'trend statements'!G48:K48</xm:f>
              <xm:sqref>L48</xm:sqref>
            </x14:sparkline>
          </x14:sparklines>
        </x14:sparklineGroup>
        <x14:sparklineGroup lineWeight="2" displayEmptyCellsAs="gap" xr2:uid="{00000000-0003-0000-0500-000022000000}">
          <x14:colorSeries rgb="FF00FF00"/>
          <x14:sparklines>
            <x14:sparkline>
              <xm:f>'trend statements'!G47:K47</xm:f>
              <xm:sqref>L47</xm:sqref>
            </x14:sparkline>
          </x14:sparklines>
        </x14:sparklineGroup>
        <x14:sparklineGroup lineWeight="2" displayEmptyCellsAs="gap" xr2:uid="{00000000-0003-0000-0500-000021000000}">
          <x14:colorSeries rgb="FFFF0000"/>
          <x14:sparklines>
            <x14:sparkline>
              <xm:f>'trend statements'!G46:K46</xm:f>
              <xm:sqref>L46</xm:sqref>
            </x14:sparkline>
          </x14:sparklines>
        </x14:sparklineGroup>
        <x14:sparklineGroup lineWeight="2" displayEmptyCellsAs="gap" xr2:uid="{00000000-0003-0000-0500-000020000000}">
          <x14:colorSeries rgb="FF00FF00"/>
          <x14:sparklines>
            <x14:sparkline>
              <xm:f>'trend statements'!G45:K45</xm:f>
              <xm:sqref>L45</xm:sqref>
            </x14:sparkline>
          </x14:sparklines>
        </x14:sparklineGroup>
        <x14:sparklineGroup lineWeight="2" displayEmptyCellsAs="gap" xr2:uid="{00000000-0003-0000-0500-00001F000000}">
          <x14:colorSeries rgb="FF00FF00"/>
          <x14:sparklines>
            <x14:sparkline>
              <xm:f>'trend statements'!G44:K44</xm:f>
              <xm:sqref>L44</xm:sqref>
            </x14:sparkline>
          </x14:sparklines>
        </x14:sparklineGroup>
        <x14:sparklineGroup lineWeight="2" displayEmptyCellsAs="gap" xr2:uid="{00000000-0003-0000-0500-00001E000000}">
          <x14:colorSeries rgb="FF00FF00"/>
          <x14:sparklines>
            <x14:sparkline>
              <xm:f>'trend statements'!G43:K43</xm:f>
              <xm:sqref>L43</xm:sqref>
            </x14:sparkline>
          </x14:sparklines>
        </x14:sparklineGroup>
        <x14:sparklineGroup lineWeight="2" displayEmptyCellsAs="gap" xr2:uid="{00000000-0003-0000-0500-00001D000000}">
          <x14:colorSeries rgb="FF00FF00"/>
          <x14:sparklines>
            <x14:sparkline>
              <xm:f>'trend statements'!G42:K42</xm:f>
              <xm:sqref>L42</xm:sqref>
            </x14:sparkline>
          </x14:sparklines>
        </x14:sparklineGroup>
        <x14:sparklineGroup lineWeight="2" displayEmptyCellsAs="gap" xr2:uid="{00000000-0003-0000-0500-00001C000000}">
          <x14:colorSeries rgb="FF00FF00"/>
          <x14:sparklines>
            <x14:sparkline>
              <xm:f>'trend statements'!G41:K41</xm:f>
              <xm:sqref>L41</xm:sqref>
            </x14:sparkline>
          </x14:sparklines>
        </x14:sparklineGroup>
        <x14:sparklineGroup lineWeight="2" displayEmptyCellsAs="gap" xr2:uid="{00000000-0003-0000-0500-00001B000000}">
          <x14:colorSeries rgb="FF00FF00"/>
          <x14:sparklines>
            <x14:sparkline>
              <xm:f>'trend statements'!G39:K39</xm:f>
              <xm:sqref>L39</xm:sqref>
            </x14:sparkline>
          </x14:sparklines>
        </x14:sparklineGroup>
        <x14:sparklineGroup lineWeight="2" displayEmptyCellsAs="gap" xr2:uid="{00000000-0003-0000-0500-00001A000000}">
          <x14:colorSeries rgb="FF00FF00"/>
          <x14:sparklines>
            <x14:sparkline>
              <xm:f>'trend statements'!G38:K38</xm:f>
              <xm:sqref>L38</xm:sqref>
            </x14:sparkline>
          </x14:sparklines>
        </x14:sparklineGroup>
        <x14:sparklineGroup lineWeight="2" displayEmptyCellsAs="gap" xr2:uid="{00000000-0003-0000-0500-000019000000}">
          <x14:colorSeries rgb="FF00FF00"/>
          <x14:sparklines>
            <x14:sparkline>
              <xm:f>'trend statements'!G37:K37</xm:f>
              <xm:sqref>L37</xm:sqref>
            </x14:sparkline>
          </x14:sparklines>
        </x14:sparklineGroup>
        <x14:sparklineGroup lineWeight="2" displayEmptyCellsAs="gap" xr2:uid="{00000000-0003-0000-0500-000018000000}">
          <x14:colorSeries rgb="FF00FF00"/>
          <x14:sparklines>
            <x14:sparkline>
              <xm:f>'trend statements'!G36:K36</xm:f>
              <xm:sqref>L36</xm:sqref>
            </x14:sparkline>
          </x14:sparklines>
        </x14:sparklineGroup>
        <x14:sparklineGroup lineWeight="2" displayEmptyCellsAs="gap" xr2:uid="{00000000-0003-0000-0500-000017000000}">
          <x14:colorSeries rgb="FFFF0000"/>
          <x14:sparklines>
            <x14:sparkline>
              <xm:f>'trend statements'!G35:K35</xm:f>
              <xm:sqref>L35</xm:sqref>
            </x14:sparkline>
          </x14:sparklines>
        </x14:sparklineGroup>
        <x14:sparklineGroup lineWeight="2" displayEmptyCellsAs="gap" xr2:uid="{00000000-0003-0000-0500-000016000000}">
          <x14:colorSeries rgb="FFFF9900"/>
          <x14:sparklines>
            <x14:sparkline>
              <xm:f>'trend statements'!G34:K34</xm:f>
              <xm:sqref>L34</xm:sqref>
            </x14:sparkline>
          </x14:sparklines>
        </x14:sparklineGroup>
        <x14:sparklineGroup lineWeight="2" displayEmptyCellsAs="gap" xr2:uid="{00000000-0003-0000-0500-000015000000}">
          <x14:colorSeries rgb="FF00FF00"/>
          <x14:sparklines>
            <x14:sparkline>
              <xm:f>'trend statements'!G33:K33</xm:f>
              <xm:sqref>L33</xm:sqref>
            </x14:sparkline>
          </x14:sparklines>
        </x14:sparklineGroup>
        <x14:sparklineGroup lineWeight="2" displayEmptyCellsAs="gap" xr2:uid="{00000000-0003-0000-0500-000014000000}">
          <x14:colorSeries rgb="FFFF0000"/>
          <x14:sparklines>
            <x14:sparkline>
              <xm:f>'trend statements'!G32:K32</xm:f>
              <xm:sqref>L32</xm:sqref>
            </x14:sparkline>
          </x14:sparklines>
        </x14:sparklineGroup>
        <x14:sparklineGroup lineWeight="2" displayEmptyCellsAs="gap" xr2:uid="{00000000-0003-0000-0500-000013000000}">
          <x14:colorSeries rgb="FFFF9900"/>
          <x14:sparklines>
            <x14:sparkline>
              <xm:f>'trend statements'!G31:K31</xm:f>
              <xm:sqref>L31</xm:sqref>
            </x14:sparkline>
          </x14:sparklines>
        </x14:sparklineGroup>
        <x14:sparklineGroup lineWeight="2" displayEmptyCellsAs="gap" xr2:uid="{00000000-0003-0000-0500-000012000000}">
          <x14:colorSeries rgb="FF00FF00"/>
          <x14:sparklines>
            <x14:sparkline>
              <xm:f>'trend statements'!G30:K30</xm:f>
              <xm:sqref>L30</xm:sqref>
            </x14:sparkline>
          </x14:sparklines>
        </x14:sparklineGroup>
        <x14:sparklineGroup lineWeight="2" displayEmptyCellsAs="gap" xr2:uid="{00000000-0003-0000-0500-000011000000}">
          <x14:colorSeries rgb="FF00FF00"/>
          <x14:sparklines>
            <x14:sparkline>
              <xm:f>'trend statements'!G29:K29</xm:f>
              <xm:sqref>L29</xm:sqref>
            </x14:sparkline>
          </x14:sparklines>
        </x14:sparklineGroup>
        <x14:sparklineGroup lineWeight="2" displayEmptyCellsAs="gap" xr2:uid="{00000000-0003-0000-0500-000010000000}">
          <x14:colorSeries rgb="FF00FF00"/>
          <x14:sparklines>
            <x14:sparkline>
              <xm:f>'trend statements'!G26:K26</xm:f>
              <xm:sqref>L26</xm:sqref>
            </x14:sparkline>
          </x14:sparklines>
        </x14:sparklineGroup>
        <x14:sparklineGroup lineWeight="2" displayEmptyCellsAs="gap" xr2:uid="{00000000-0003-0000-0500-00000F000000}">
          <x14:colorSeries rgb="FF00FF00"/>
          <x14:sparklines>
            <x14:sparkline>
              <xm:f>'trend statements'!G25:K25</xm:f>
              <xm:sqref>L25</xm:sqref>
            </x14:sparkline>
          </x14:sparklines>
        </x14:sparklineGroup>
        <x14:sparklineGroup lineWeight="2" displayEmptyCellsAs="gap" xr2:uid="{00000000-0003-0000-0500-00000E000000}">
          <x14:colorSeries rgb="FF00FF00"/>
          <x14:sparklines>
            <x14:sparkline>
              <xm:f>'trend statements'!G24:K24</xm:f>
              <xm:sqref>L24</xm:sqref>
            </x14:sparkline>
          </x14:sparklines>
        </x14:sparklineGroup>
        <x14:sparklineGroup lineWeight="2" displayEmptyCellsAs="gap" xr2:uid="{00000000-0003-0000-0500-00000D000000}">
          <x14:colorSeries rgb="FF00FF00"/>
          <x14:sparklines>
            <x14:sparkline>
              <xm:f>'trend statements'!G23:K23</xm:f>
              <xm:sqref>L23</xm:sqref>
            </x14:sparkline>
          </x14:sparklines>
        </x14:sparklineGroup>
        <x14:sparklineGroup lineWeight="2" displayEmptyCellsAs="gap" xr2:uid="{00000000-0003-0000-0500-00000C000000}">
          <x14:colorSeries rgb="FF00FF00"/>
          <x14:sparklines>
            <x14:sparkline>
              <xm:f>'trend statements'!G22:K22</xm:f>
              <xm:sqref>L22</xm:sqref>
            </x14:sparkline>
          </x14:sparklines>
        </x14:sparklineGroup>
        <x14:sparklineGroup lineWeight="2" displayEmptyCellsAs="gap" xr2:uid="{00000000-0003-0000-0500-00000B000000}">
          <x14:colorSeries rgb="FF00FF00"/>
          <x14:sparklines>
            <x14:sparkline>
              <xm:f>'trend statements'!G21:K21</xm:f>
              <xm:sqref>L21</xm:sqref>
            </x14:sparkline>
          </x14:sparklines>
        </x14:sparklineGroup>
        <x14:sparklineGroup lineWeight="2" displayEmptyCellsAs="gap" xr2:uid="{00000000-0003-0000-0500-00000A000000}">
          <x14:colorSeries rgb="FF00FF00"/>
          <x14:sparklines>
            <x14:sparkline>
              <xm:f>'trend statements'!G20:K20</xm:f>
              <xm:sqref>L20</xm:sqref>
            </x14:sparkline>
          </x14:sparklines>
        </x14:sparklineGroup>
        <x14:sparklineGroup lineWeight="2" displayEmptyCellsAs="gap" xr2:uid="{00000000-0003-0000-0500-000009000000}">
          <x14:colorSeries rgb="FF00FF00"/>
          <x14:sparklines>
            <x14:sparkline>
              <xm:f>'trend statements'!G19:K19</xm:f>
              <xm:sqref>L19</xm:sqref>
            </x14:sparkline>
          </x14:sparklines>
        </x14:sparklineGroup>
        <x14:sparklineGroup lineWeight="2" displayEmptyCellsAs="gap" xr2:uid="{00000000-0003-0000-0500-000008000000}">
          <x14:colorSeries rgb="FF00FF00"/>
          <x14:sparklines>
            <x14:sparkline>
              <xm:f>'trend statements'!G17:K17</xm:f>
              <xm:sqref>L17</xm:sqref>
            </x14:sparkline>
          </x14:sparklines>
        </x14:sparklineGroup>
        <x14:sparklineGroup lineWeight="2" displayEmptyCellsAs="gap" xr2:uid="{00000000-0003-0000-0500-000007000000}">
          <x14:colorSeries rgb="FF00FF00"/>
          <x14:sparklines>
            <x14:sparkline>
              <xm:f>'trend statements'!G16:K16</xm:f>
              <xm:sqref>L16</xm:sqref>
            </x14:sparkline>
          </x14:sparklines>
        </x14:sparklineGroup>
        <x14:sparklineGroup lineWeight="2" displayEmptyCellsAs="gap" xr2:uid="{00000000-0003-0000-0500-000006000000}">
          <x14:colorSeries rgb="FF00FF00"/>
          <x14:sparklines>
            <x14:sparkline>
              <xm:f>'trend statements'!G15:K15</xm:f>
              <xm:sqref>L15</xm:sqref>
            </x14:sparkline>
          </x14:sparklines>
        </x14:sparklineGroup>
        <x14:sparklineGroup lineWeight="2" displayEmptyCellsAs="gap" xr2:uid="{00000000-0003-0000-0500-000005000000}">
          <x14:colorSeries rgb="FF00FF00"/>
          <x14:sparklines>
            <x14:sparkline>
              <xm:f>'trend statements'!G14:K14</xm:f>
              <xm:sqref>L14</xm:sqref>
            </x14:sparkline>
          </x14:sparklines>
        </x14:sparklineGroup>
        <x14:sparklineGroup lineWeight="2" displayEmptyCellsAs="gap" xr2:uid="{00000000-0003-0000-0500-000004000000}">
          <x14:colorSeries rgb="FF00FF00"/>
          <x14:sparklines>
            <x14:sparkline>
              <xm:f>'trend statements'!G13:K13</xm:f>
              <xm:sqref>L13</xm:sqref>
            </x14:sparkline>
          </x14:sparklines>
        </x14:sparklineGroup>
        <x14:sparklineGroup lineWeight="2" displayEmptyCellsAs="gap" xr2:uid="{00000000-0003-0000-0500-000003000000}">
          <x14:colorSeries rgb="FF00FF00"/>
          <x14:sparklines>
            <x14:sparkline>
              <xm:f>'trend statements'!G12:K12</xm:f>
              <xm:sqref>L12</xm:sqref>
            </x14:sparkline>
          </x14:sparklines>
        </x14:sparklineGroup>
        <x14:sparklineGroup lineWeight="2" displayEmptyCellsAs="gap" xr2:uid="{00000000-0003-0000-0500-000002000000}">
          <x14:colorSeries rgb="FFFF0000"/>
          <x14:sparklines>
            <x14:sparkline>
              <xm:f>'trend statements'!G9:K9</xm:f>
              <xm:sqref>L9</xm:sqref>
            </x14:sparkline>
          </x14:sparklines>
        </x14:sparklineGroup>
        <x14:sparklineGroup lineWeight="2" displayEmptyCellsAs="gap" xr2:uid="{00000000-0003-0000-0500-000001000000}">
          <x14:colorSeries rgb="FFFF0000"/>
          <x14:sparklines>
            <x14:sparkline>
              <xm:f>'trend statements'!G8:K8</xm:f>
              <xm:sqref>L8</xm:sqref>
            </x14:sparkline>
          </x14:sparklines>
        </x14:sparklineGroup>
        <x14:sparklineGroup lineWeight="2" displayEmptyCellsAs="gap" xr2:uid="{00000000-0003-0000-0500-000000000000}">
          <x14:colorSeries rgb="FFFF9900"/>
          <x14:sparklines>
            <x14:sparkline>
              <xm:f>'trend statements'!G7:K7</xm:f>
              <xm:sqref>L7</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I43"/>
  <sheetViews>
    <sheetView showGridLines="0" workbookViewId="0">
      <selection sqref="A1:H1"/>
    </sheetView>
  </sheetViews>
  <sheetFormatPr defaultColWidth="12.6640625" defaultRowHeight="15.75" customHeight="1"/>
  <cols>
    <col min="1" max="1" width="38.109375" customWidth="1"/>
    <col min="2" max="2" width="18.21875" customWidth="1"/>
    <col min="3" max="3" width="16.77734375" customWidth="1"/>
    <col min="4" max="4" width="13.6640625" customWidth="1"/>
    <col min="5" max="5" width="13" customWidth="1"/>
    <col min="6" max="6" width="12.33203125" customWidth="1"/>
    <col min="7" max="7" width="13.44140625" customWidth="1"/>
    <col min="8" max="8" width="12.88671875" customWidth="1"/>
  </cols>
  <sheetData>
    <row r="1" spans="1:9" ht="15.75" customHeight="1">
      <c r="A1" s="265"/>
      <c r="B1" s="250"/>
      <c r="C1" s="250"/>
      <c r="D1" s="250"/>
      <c r="E1" s="250"/>
      <c r="F1" s="250"/>
      <c r="G1" s="250"/>
      <c r="H1" s="250"/>
    </row>
    <row r="2" spans="1:9" ht="15.75" customHeight="1">
      <c r="A2" s="11"/>
      <c r="B2" s="11"/>
      <c r="C2" s="11"/>
      <c r="D2" s="11"/>
      <c r="E2" s="11"/>
      <c r="F2" s="11"/>
      <c r="G2" s="11"/>
      <c r="H2" s="11"/>
    </row>
    <row r="3" spans="1:9" ht="15.75" customHeight="1">
      <c r="A3" s="264" t="s">
        <v>191</v>
      </c>
      <c r="B3" s="247"/>
      <c r="C3" s="247"/>
      <c r="D3" s="247"/>
      <c r="E3" s="247"/>
      <c r="F3" s="247"/>
      <c r="G3" s="247"/>
      <c r="H3" s="247"/>
      <c r="I3" s="248"/>
    </row>
    <row r="4" spans="1:9" ht="15.75" customHeight="1">
      <c r="A4" s="99" t="s">
        <v>192</v>
      </c>
      <c r="B4" s="100" t="s">
        <v>193</v>
      </c>
      <c r="C4" s="101" t="s">
        <v>194</v>
      </c>
      <c r="D4" s="101" t="s">
        <v>195</v>
      </c>
      <c r="E4" s="101" t="s">
        <v>196</v>
      </c>
      <c r="F4" s="101" t="s">
        <v>197</v>
      </c>
      <c r="G4" s="101" t="s">
        <v>198</v>
      </c>
      <c r="H4" s="103" t="s">
        <v>199</v>
      </c>
      <c r="I4" s="104" t="s">
        <v>200</v>
      </c>
    </row>
    <row r="5" spans="1:9">
      <c r="A5" s="105" t="s">
        <v>202</v>
      </c>
      <c r="B5" s="106" t="s">
        <v>203</v>
      </c>
      <c r="C5" s="106" t="s">
        <v>204</v>
      </c>
      <c r="D5" s="106">
        <v>1.3</v>
      </c>
      <c r="E5" s="106">
        <v>1.3</v>
      </c>
      <c r="F5" s="106">
        <v>1.4</v>
      </c>
      <c r="G5" s="106">
        <v>1.3</v>
      </c>
      <c r="H5" s="106">
        <v>1.6</v>
      </c>
      <c r="I5" s="107"/>
    </row>
    <row r="6" spans="1:9">
      <c r="A6" s="105" t="s">
        <v>206</v>
      </c>
      <c r="B6" s="106" t="s">
        <v>207</v>
      </c>
      <c r="C6" s="106" t="s">
        <v>208</v>
      </c>
      <c r="D6" s="106">
        <v>0</v>
      </c>
      <c r="E6" s="106">
        <v>0</v>
      </c>
      <c r="F6" s="106">
        <v>0</v>
      </c>
      <c r="G6" s="106">
        <v>0</v>
      </c>
      <c r="H6" s="106">
        <v>0</v>
      </c>
      <c r="I6" s="97"/>
    </row>
    <row r="7" spans="1:9">
      <c r="A7" s="105" t="s">
        <v>210</v>
      </c>
      <c r="B7" s="106" t="s">
        <v>211</v>
      </c>
      <c r="C7" s="106" t="s">
        <v>212</v>
      </c>
      <c r="D7" s="106">
        <v>20.2</v>
      </c>
      <c r="E7" s="106">
        <v>21.4</v>
      </c>
      <c r="F7" s="106">
        <v>21.8</v>
      </c>
      <c r="G7" s="106">
        <v>20.5</v>
      </c>
      <c r="H7" s="106">
        <v>23.6</v>
      </c>
      <c r="I7" s="107"/>
    </row>
    <row r="8" spans="1:9">
      <c r="A8" s="105" t="s">
        <v>213</v>
      </c>
      <c r="B8" s="106" t="s">
        <v>214</v>
      </c>
      <c r="C8" s="106" t="s">
        <v>215</v>
      </c>
      <c r="D8" s="108">
        <v>0.17</v>
      </c>
      <c r="E8" s="108">
        <v>0.183</v>
      </c>
      <c r="F8" s="108">
        <v>0.20100000000000001</v>
      </c>
      <c r="G8" s="108">
        <v>0.21299999999999999</v>
      </c>
      <c r="H8" s="108">
        <v>0.20200000000000001</v>
      </c>
      <c r="I8" s="107"/>
    </row>
    <row r="9" spans="1:9">
      <c r="A9" s="105" t="s">
        <v>216</v>
      </c>
      <c r="B9" s="106" t="s">
        <v>217</v>
      </c>
      <c r="C9" s="106" t="s">
        <v>218</v>
      </c>
      <c r="D9" s="106">
        <v>14</v>
      </c>
      <c r="E9" s="106">
        <v>13.8</v>
      </c>
      <c r="F9" s="106">
        <v>14.7</v>
      </c>
      <c r="G9" s="106">
        <v>15.2</v>
      </c>
      <c r="H9" s="106">
        <v>15.2</v>
      </c>
      <c r="I9" s="107"/>
    </row>
    <row r="10" spans="1:9">
      <c r="A10" s="105" t="s">
        <v>219</v>
      </c>
      <c r="B10" s="106" t="s">
        <v>217</v>
      </c>
      <c r="C10" s="106" t="s">
        <v>220</v>
      </c>
      <c r="D10" s="106">
        <v>30.2</v>
      </c>
      <c r="E10" s="106">
        <v>28.1</v>
      </c>
      <c r="F10" s="106">
        <v>24.9</v>
      </c>
      <c r="G10" s="106">
        <v>19.8</v>
      </c>
      <c r="H10" s="106">
        <v>22</v>
      </c>
      <c r="I10" s="98"/>
    </row>
    <row r="11" spans="1:9">
      <c r="A11" s="105" t="s">
        <v>223</v>
      </c>
      <c r="B11" s="106" t="s">
        <v>224</v>
      </c>
      <c r="C11" s="106" t="s">
        <v>225</v>
      </c>
      <c r="D11" s="106">
        <v>4</v>
      </c>
      <c r="E11" s="106">
        <v>4.0999999999999996</v>
      </c>
      <c r="F11" s="106">
        <v>4.7</v>
      </c>
      <c r="G11" s="106">
        <v>4.4000000000000004</v>
      </c>
      <c r="H11" s="106">
        <v>4.3</v>
      </c>
      <c r="I11" s="98"/>
    </row>
    <row r="12" spans="1:9">
      <c r="A12" s="105" t="s">
        <v>227</v>
      </c>
      <c r="B12" s="106" t="s">
        <v>217</v>
      </c>
      <c r="C12" s="106" t="s">
        <v>228</v>
      </c>
      <c r="D12" s="106">
        <v>16.2</v>
      </c>
      <c r="E12" s="106">
        <v>13.6</v>
      </c>
      <c r="F12" s="106">
        <v>13</v>
      </c>
      <c r="G12" s="106">
        <v>11.6</v>
      </c>
      <c r="H12" s="106">
        <v>7.6</v>
      </c>
      <c r="I12" s="98"/>
    </row>
    <row r="13" spans="1:9">
      <c r="A13" s="105" t="s">
        <v>232</v>
      </c>
      <c r="B13" s="106" t="s">
        <v>233</v>
      </c>
      <c r="C13" s="106" t="s">
        <v>234</v>
      </c>
      <c r="D13" s="108">
        <v>0.17599999999999999</v>
      </c>
      <c r="E13" s="108">
        <v>0.17499999999999999</v>
      </c>
      <c r="F13" s="108">
        <v>0.17100000000000001</v>
      </c>
      <c r="G13" s="108">
        <v>0.17499999999999999</v>
      </c>
      <c r="H13" s="108">
        <v>0.17</v>
      </c>
      <c r="I13" s="107"/>
    </row>
    <row r="14" spans="1:9">
      <c r="A14" s="105" t="s">
        <v>237</v>
      </c>
      <c r="B14" s="106" t="s">
        <v>238</v>
      </c>
      <c r="C14" s="106" t="s">
        <v>239</v>
      </c>
      <c r="D14" s="108">
        <v>1.1299999999999999</v>
      </c>
      <c r="E14" s="108">
        <v>1.0780000000000001</v>
      </c>
      <c r="F14" s="108">
        <v>1.0189999999999999</v>
      </c>
      <c r="G14" s="108">
        <v>1.0820000000000001</v>
      </c>
      <c r="H14" s="108">
        <v>0.96299999999999997</v>
      </c>
      <c r="I14" s="98"/>
    </row>
    <row r="15" spans="1:9">
      <c r="A15" s="110" t="s">
        <v>242</v>
      </c>
      <c r="B15" s="111" t="s">
        <v>243</v>
      </c>
      <c r="C15" s="111" t="s">
        <v>82</v>
      </c>
      <c r="D15" s="111">
        <v>4.4000000000000004</v>
      </c>
      <c r="E15" s="112">
        <v>3.5000000000000003E-2</v>
      </c>
      <c r="F15" s="112">
        <v>5.5E-2</v>
      </c>
      <c r="G15" s="112">
        <v>7.3999999999999996E-2</v>
      </c>
      <c r="H15" s="112">
        <v>7.5999999999999998E-2</v>
      </c>
      <c r="I15" s="115"/>
    </row>
    <row r="28" spans="1:1" ht="15.75" customHeight="1">
      <c r="A28" s="116"/>
    </row>
    <row r="29" spans="1:1" ht="15.75" customHeight="1">
      <c r="A29" s="116"/>
    </row>
    <row r="30" spans="1:1" ht="15.75" customHeight="1">
      <c r="A30" s="116"/>
    </row>
    <row r="31" spans="1:1" ht="15.75" customHeight="1">
      <c r="A31" s="116"/>
    </row>
    <row r="32" spans="1:1" ht="15.75" customHeight="1">
      <c r="A32" s="117"/>
    </row>
    <row r="33" spans="1:1" ht="15.75" customHeight="1">
      <c r="A33" s="116"/>
    </row>
    <row r="34" spans="1:1" ht="14.4">
      <c r="A34" s="116"/>
    </row>
    <row r="35" spans="1:1" ht="14.4">
      <c r="A35" s="116"/>
    </row>
    <row r="36" spans="1:1" ht="14.4">
      <c r="A36" s="116"/>
    </row>
    <row r="37" spans="1:1" ht="14.4">
      <c r="A37" s="116"/>
    </row>
    <row r="38" spans="1:1" ht="14.4">
      <c r="A38" s="116"/>
    </row>
    <row r="39" spans="1:1" ht="14.4">
      <c r="A39" s="116"/>
    </row>
    <row r="40" spans="1:1" ht="14.4">
      <c r="A40" s="117"/>
    </row>
    <row r="41" spans="1:1" ht="14.4">
      <c r="A41" s="116"/>
    </row>
    <row r="42" spans="1:1" ht="14.4">
      <c r="A42" s="116"/>
    </row>
    <row r="43" spans="1:1" ht="14.4">
      <c r="A43" s="116"/>
    </row>
  </sheetData>
  <mergeCells count="2">
    <mergeCell ref="A1:H1"/>
    <mergeCell ref="A3:I3"/>
  </mergeCells>
  <printOptions horizontalCentered="1" gridLines="1"/>
  <pageMargins left="0.7" right="0.7" top="0.75" bottom="0.75" header="0" footer="0"/>
  <pageSetup fitToHeight="0" pageOrder="overThenDown" orientation="landscape" cellComments="atEnd"/>
  <drawing r:id="rId1"/>
  <extLst>
    <ext xmlns:x14="http://schemas.microsoft.com/office/spreadsheetml/2009/9/main" uri="{05C60535-1F16-4fd2-B633-F4F36F0B64E0}">
      <x14:sparklineGroups xmlns:xm="http://schemas.microsoft.com/office/excel/2006/main">
        <x14:sparklineGroup lineWeight="2" displayEmptyCellsAs="gap" xr2:uid="{00000000-0003-0000-0600-000040000000}">
          <x14:colorSeries rgb="FF00FF00"/>
          <x14:sparklines>
            <x14:sparkline>
              <xm:f>'Ratio analysis'!D15:H15</xm:f>
              <xm:sqref>I15</xm:sqref>
            </x14:sparkline>
          </x14:sparklines>
        </x14:sparklineGroup>
        <x14:sparklineGroup lineWeight="2" displayEmptyCellsAs="gap" xr2:uid="{00000000-0003-0000-0600-00003F000000}">
          <x14:colorSeries rgb="FFFF0000"/>
          <x14:sparklines>
            <x14:sparkline>
              <xm:f>'Ratio analysis'!D14:H14</xm:f>
              <xm:sqref>I14</xm:sqref>
            </x14:sparkline>
          </x14:sparklines>
        </x14:sparklineGroup>
        <x14:sparklineGroup lineWeight="2" displayEmptyCellsAs="gap" xr2:uid="{00000000-0003-0000-0600-00003E000000}">
          <x14:colorSeries rgb="FF00FF00"/>
          <x14:sparklines>
            <x14:sparkline>
              <xm:f>'Ratio analysis'!D13:H13</xm:f>
              <xm:sqref>I13</xm:sqref>
            </x14:sparkline>
          </x14:sparklines>
        </x14:sparklineGroup>
        <x14:sparklineGroup lineWeight="2" displayEmptyCellsAs="gap" xr2:uid="{00000000-0003-0000-0600-00003D000000}">
          <x14:colorSeries rgb="FFFF0000"/>
          <x14:sparklines>
            <x14:sparkline>
              <xm:f>'Ratio analysis'!D12:H12</xm:f>
              <xm:sqref>I12</xm:sqref>
            </x14:sparkline>
          </x14:sparklines>
        </x14:sparklineGroup>
        <x14:sparklineGroup lineWeight="2" displayEmptyCellsAs="gap" xr2:uid="{00000000-0003-0000-0600-00003C000000}">
          <x14:colorSeries rgb="FFFF0000"/>
          <x14:sparklines>
            <x14:sparkline>
              <xm:f>'Ratio analysis'!D11:H11</xm:f>
              <xm:sqref>I11</xm:sqref>
            </x14:sparkline>
          </x14:sparklines>
        </x14:sparklineGroup>
        <x14:sparklineGroup lineWeight="2" displayEmptyCellsAs="gap" xr2:uid="{00000000-0003-0000-0600-00003B000000}">
          <x14:colorSeries rgb="FFFF0000"/>
          <x14:sparklines>
            <x14:sparkline>
              <xm:f>'Ratio analysis'!D10:H10</xm:f>
              <xm:sqref>I10</xm:sqref>
            </x14:sparkline>
          </x14:sparklines>
        </x14:sparklineGroup>
        <x14:sparklineGroup lineWeight="2" displayEmptyCellsAs="gap" xr2:uid="{00000000-0003-0000-0600-00003A000000}">
          <x14:colorSeries rgb="FF00FF00"/>
          <x14:sparklines>
            <x14:sparkline>
              <xm:f>'Ratio analysis'!D9:H9</xm:f>
              <xm:sqref>I9</xm:sqref>
            </x14:sparkline>
          </x14:sparklines>
        </x14:sparklineGroup>
        <x14:sparklineGroup lineWeight="2" displayEmptyCellsAs="gap" xr2:uid="{00000000-0003-0000-0600-000039000000}">
          <x14:colorSeries rgb="FF00FF00"/>
          <x14:sparklines>
            <x14:sparkline>
              <xm:f>'Ratio analysis'!D8:H8</xm:f>
              <xm:sqref>I8</xm:sqref>
            </x14:sparkline>
          </x14:sparklines>
        </x14:sparklineGroup>
        <x14:sparklineGroup lineWeight="2" displayEmptyCellsAs="gap" xr2:uid="{00000000-0003-0000-0600-000038000000}">
          <x14:colorSeries rgb="FF00FF00"/>
          <x14:sparklines>
            <x14:sparkline>
              <xm:f>'Ratio analysis'!D7:H7</xm:f>
              <xm:sqref>I7</xm:sqref>
            </x14:sparkline>
          </x14:sparklines>
        </x14:sparklineGroup>
        <x14:sparklineGroup lineWeight="2" displayEmptyCellsAs="gap" xr2:uid="{00000000-0003-0000-0600-000037000000}">
          <x14:colorSeries rgb="FFFF9900"/>
          <x14:sparklines>
            <x14:sparkline>
              <xm:f>'Ratio analysis'!D6:H6</xm:f>
              <xm:sqref>I6</xm:sqref>
            </x14:sparkline>
          </x14:sparklines>
        </x14:sparklineGroup>
        <x14:sparklineGroup lineWeight="2" displayEmptyCellsAs="gap" xr2:uid="{00000000-0003-0000-0600-000036000000}">
          <x14:colorSeries rgb="FF00FF00"/>
          <x14:sparklines>
            <x14:sparkline>
              <xm:f>'Ratio analysis'!D5:H5</xm:f>
              <xm:sqref>I5</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36"/>
  <sheetViews>
    <sheetView showGridLines="0" workbookViewId="0"/>
  </sheetViews>
  <sheetFormatPr defaultColWidth="12.6640625" defaultRowHeight="15.75" customHeight="1"/>
  <cols>
    <col min="1" max="1" width="26.33203125" customWidth="1"/>
    <col min="2" max="2" width="16.6640625" customWidth="1"/>
    <col min="3" max="3" width="19.33203125" customWidth="1"/>
    <col min="4" max="4" width="13.6640625" customWidth="1"/>
    <col min="5" max="5" width="13.77734375" customWidth="1"/>
    <col min="6" max="6" width="15.88671875" customWidth="1"/>
  </cols>
  <sheetData>
    <row r="1" spans="1:6" ht="19.2">
      <c r="A1" s="122"/>
      <c r="B1" s="122"/>
      <c r="C1" s="122"/>
      <c r="D1" s="122"/>
      <c r="E1" s="122"/>
      <c r="F1" s="122"/>
    </row>
    <row r="2" spans="1:6" ht="19.2">
      <c r="A2" s="270" t="s">
        <v>256</v>
      </c>
      <c r="B2" s="247"/>
      <c r="C2" s="247"/>
      <c r="D2" s="247"/>
      <c r="E2" s="247"/>
      <c r="F2" s="248"/>
    </row>
    <row r="3" spans="1:6" ht="13.2">
      <c r="A3" s="125"/>
      <c r="B3" s="126"/>
      <c r="C3" s="126"/>
      <c r="D3" s="126"/>
      <c r="E3" s="126"/>
      <c r="F3" s="127" t="s">
        <v>257</v>
      </c>
    </row>
    <row r="4" spans="1:6" ht="13.2">
      <c r="A4" s="128" t="s">
        <v>258</v>
      </c>
      <c r="B4" s="128" t="s">
        <v>177</v>
      </c>
      <c r="C4" s="128" t="s">
        <v>179</v>
      </c>
      <c r="D4" s="128" t="s">
        <v>180</v>
      </c>
      <c r="E4" s="128" t="s">
        <v>6</v>
      </c>
      <c r="F4" s="128" t="s">
        <v>7</v>
      </c>
    </row>
    <row r="5" spans="1:6" ht="13.2">
      <c r="A5" s="130" t="s">
        <v>259</v>
      </c>
      <c r="B5" s="133">
        <v>45996</v>
      </c>
      <c r="C5" s="133">
        <v>51193</v>
      </c>
      <c r="D5" s="133">
        <v>59144</v>
      </c>
      <c r="E5" s="133">
        <v>60469</v>
      </c>
      <c r="F5" s="135">
        <v>61469</v>
      </c>
    </row>
    <row r="6" spans="1:6" ht="13.2">
      <c r="A6" s="95" t="s">
        <v>260</v>
      </c>
      <c r="B6" s="136">
        <v>7954</v>
      </c>
      <c r="C6" s="136">
        <v>8818</v>
      </c>
      <c r="D6" s="136">
        <v>9962</v>
      </c>
      <c r="E6" s="136">
        <v>10114</v>
      </c>
      <c r="F6" s="137">
        <v>10644</v>
      </c>
    </row>
    <row r="7" spans="1:6" ht="13.2">
      <c r="A7" s="95" t="s">
        <v>263</v>
      </c>
      <c r="B7" s="136">
        <v>24319</v>
      </c>
      <c r="C7" s="136">
        <v>26079</v>
      </c>
      <c r="D7" s="136">
        <v>28000</v>
      </c>
      <c r="E7" s="136">
        <v>31152</v>
      </c>
      <c r="F7" s="137">
        <v>31293</v>
      </c>
    </row>
    <row r="8" spans="1:6" ht="13.2">
      <c r="A8" s="95" t="s">
        <v>264</v>
      </c>
      <c r="B8" s="136">
        <v>10717</v>
      </c>
      <c r="C8" s="136">
        <v>11773</v>
      </c>
      <c r="D8" s="136">
        <v>13141</v>
      </c>
      <c r="E8" s="136">
        <v>13764</v>
      </c>
      <c r="F8" s="137">
        <v>13878</v>
      </c>
    </row>
    <row r="9" spans="1:6" ht="13.2">
      <c r="A9" s="95" t="s">
        <v>266</v>
      </c>
      <c r="B9" s="136">
        <v>11837</v>
      </c>
      <c r="C9" s="136">
        <v>12896</v>
      </c>
      <c r="D9" s="136">
        <v>14272</v>
      </c>
      <c r="E9" s="136">
        <v>14863</v>
      </c>
      <c r="F9" s="137">
        <v>15466</v>
      </c>
    </row>
    <row r="10" spans="1:6" ht="13.2">
      <c r="A10" s="95" t="s">
        <v>268</v>
      </c>
      <c r="B10" s="106">
        <v>33.85</v>
      </c>
      <c r="C10" s="106">
        <v>37.520000000000003</v>
      </c>
      <c r="D10" s="106">
        <v>42.39</v>
      </c>
      <c r="E10" s="106">
        <v>43.04</v>
      </c>
      <c r="F10" s="140">
        <v>45.29</v>
      </c>
    </row>
    <row r="11" spans="1:6" ht="13.2">
      <c r="A11" s="95" t="s">
        <v>272</v>
      </c>
      <c r="B11" s="136">
        <v>68116</v>
      </c>
      <c r="C11" s="136">
        <v>69737</v>
      </c>
      <c r="D11" s="136">
        <v>71825</v>
      </c>
      <c r="E11" s="136">
        <v>77076</v>
      </c>
      <c r="F11" s="137">
        <v>78313</v>
      </c>
    </row>
    <row r="12" spans="1:6" ht="13.2">
      <c r="A12" s="95" t="s">
        <v>274</v>
      </c>
      <c r="B12" s="136">
        <v>20682</v>
      </c>
      <c r="C12" s="136">
        <v>20977</v>
      </c>
      <c r="D12" s="136">
        <v>21604</v>
      </c>
      <c r="E12" s="136">
        <v>26103</v>
      </c>
      <c r="F12" s="137">
        <v>29160</v>
      </c>
    </row>
    <row r="13" spans="1:6" ht="13.2">
      <c r="A13" s="95" t="s">
        <v>276</v>
      </c>
      <c r="B13" s="136">
        <v>47434</v>
      </c>
      <c r="C13" s="136">
        <v>48760</v>
      </c>
      <c r="D13" s="136">
        <v>50221</v>
      </c>
      <c r="E13" s="136">
        <v>50973</v>
      </c>
      <c r="F13" s="137">
        <v>49153</v>
      </c>
    </row>
    <row r="14" spans="1:6" ht="13.2">
      <c r="A14" s="95" t="s">
        <v>277</v>
      </c>
      <c r="B14" s="106">
        <v>1.26</v>
      </c>
      <c r="C14" s="106">
        <v>1.34</v>
      </c>
      <c r="D14" s="106">
        <v>1.38</v>
      </c>
      <c r="E14" s="106">
        <v>1.64</v>
      </c>
      <c r="F14" s="140">
        <v>1.33</v>
      </c>
    </row>
    <row r="15" spans="1:6" ht="13.2">
      <c r="A15" s="95" t="s">
        <v>278</v>
      </c>
      <c r="B15" s="106">
        <v>0.05</v>
      </c>
      <c r="C15" s="106">
        <v>0.05</v>
      </c>
      <c r="D15" s="106">
        <v>0.04</v>
      </c>
      <c r="E15" s="106">
        <v>0.04</v>
      </c>
      <c r="F15" s="140">
        <v>7.0000000000000007E-2</v>
      </c>
    </row>
    <row r="16" spans="1:6" ht="13.2">
      <c r="A16" s="95" t="s">
        <v>279</v>
      </c>
      <c r="B16" s="108">
        <v>0.16769999999999999</v>
      </c>
      <c r="C16" s="108">
        <v>0.18090000000000001</v>
      </c>
      <c r="D16" s="108">
        <v>0.19839999999999999</v>
      </c>
      <c r="E16" s="108">
        <v>0.19839999999999999</v>
      </c>
      <c r="F16" s="144">
        <v>0.2165</v>
      </c>
    </row>
    <row r="17" spans="1:12" ht="13.2">
      <c r="A17" s="119" t="s">
        <v>280</v>
      </c>
      <c r="B17" s="145">
        <v>0.1168</v>
      </c>
      <c r="C17" s="145">
        <v>0.12640000000000001</v>
      </c>
      <c r="D17" s="145">
        <v>0.13869999999999999</v>
      </c>
      <c r="E17" s="145">
        <v>0.13120000000000001</v>
      </c>
      <c r="F17" s="147">
        <v>0.13589999999999999</v>
      </c>
    </row>
    <row r="18" spans="1:12" ht="13.2">
      <c r="A18" s="148" t="s">
        <v>281</v>
      </c>
      <c r="B18" s="149">
        <v>47434</v>
      </c>
      <c r="C18" s="149">
        <v>48760</v>
      </c>
      <c r="D18" s="149">
        <v>50221</v>
      </c>
      <c r="E18" s="149">
        <v>50973</v>
      </c>
      <c r="F18" s="149">
        <v>49153</v>
      </c>
    </row>
    <row r="19" spans="1:12" ht="13.2">
      <c r="A19" s="68"/>
      <c r="B19" s="150"/>
      <c r="C19" s="150"/>
      <c r="D19" s="150"/>
      <c r="E19" s="150"/>
      <c r="F19" s="151"/>
    </row>
    <row r="20" spans="1:12" ht="13.8">
      <c r="A20" s="152" t="s">
        <v>283</v>
      </c>
      <c r="B20" s="153">
        <f t="shared" ref="B20:F20" si="0">((B6/B5)*(B5/B11)*(B11/B18))*100</f>
        <v>16.768562634397266</v>
      </c>
      <c r="C20" s="153">
        <f t="shared" si="0"/>
        <v>18.084495488105006</v>
      </c>
      <c r="D20" s="153">
        <f t="shared" si="0"/>
        <v>19.836323450349454</v>
      </c>
      <c r="E20" s="153">
        <f t="shared" si="0"/>
        <v>19.841877072175464</v>
      </c>
      <c r="F20" s="153">
        <f t="shared" si="0"/>
        <v>21.654832868797431</v>
      </c>
    </row>
    <row r="22" spans="1:12" ht="13.2">
      <c r="A22" s="271" t="s">
        <v>285</v>
      </c>
      <c r="B22" s="245"/>
      <c r="C22" s="245"/>
      <c r="D22" s="245"/>
      <c r="E22" s="245"/>
      <c r="F22" s="245"/>
      <c r="G22" s="245"/>
      <c r="H22" s="245"/>
      <c r="I22" s="245"/>
      <c r="J22" s="245"/>
      <c r="K22" s="245"/>
      <c r="L22" s="272"/>
    </row>
    <row r="23" spans="1:12" ht="13.2">
      <c r="A23" s="273"/>
      <c r="B23" s="274"/>
      <c r="C23" s="274"/>
      <c r="D23" s="274"/>
      <c r="E23" s="274"/>
      <c r="F23" s="274"/>
      <c r="G23" s="274"/>
      <c r="H23" s="274"/>
      <c r="I23" s="274"/>
      <c r="J23" s="274"/>
      <c r="K23" s="274"/>
      <c r="L23" s="275"/>
    </row>
    <row r="24" spans="1:12" ht="37.5" customHeight="1">
      <c r="A24" s="276" t="s">
        <v>286</v>
      </c>
      <c r="B24" s="277"/>
      <c r="C24" s="277"/>
      <c r="D24" s="277"/>
      <c r="E24" s="277"/>
      <c r="F24" s="277"/>
      <c r="G24" s="277"/>
      <c r="H24" s="277"/>
      <c r="I24" s="277"/>
      <c r="J24" s="277"/>
      <c r="K24" s="277"/>
      <c r="L24" s="278"/>
    </row>
    <row r="25" spans="1:12" ht="13.2">
      <c r="A25" s="279" t="s">
        <v>289</v>
      </c>
      <c r="B25" s="245"/>
      <c r="C25" s="245"/>
      <c r="D25" s="245"/>
      <c r="E25" s="245"/>
      <c r="F25" s="245"/>
      <c r="G25" s="245"/>
      <c r="H25" s="245"/>
      <c r="I25" s="245"/>
      <c r="J25" s="245"/>
      <c r="K25" s="245"/>
      <c r="L25" s="272"/>
    </row>
    <row r="26" spans="1:12" ht="13.2">
      <c r="A26" s="280"/>
      <c r="B26" s="250"/>
      <c r="C26" s="250"/>
      <c r="D26" s="250"/>
      <c r="E26" s="250"/>
      <c r="F26" s="250"/>
      <c r="G26" s="250"/>
      <c r="H26" s="250"/>
      <c r="I26" s="250"/>
      <c r="J26" s="250"/>
      <c r="K26" s="250"/>
      <c r="L26" s="281"/>
    </row>
    <row r="27" spans="1:12" ht="13.2">
      <c r="A27" s="273"/>
      <c r="B27" s="274"/>
      <c r="C27" s="274"/>
      <c r="D27" s="274"/>
      <c r="E27" s="274"/>
      <c r="F27" s="274"/>
      <c r="G27" s="274"/>
      <c r="H27" s="274"/>
      <c r="I27" s="274"/>
      <c r="J27" s="274"/>
      <c r="K27" s="274"/>
      <c r="L27" s="275"/>
    </row>
    <row r="28" spans="1:12" ht="13.2">
      <c r="A28" s="279" t="s">
        <v>292</v>
      </c>
      <c r="B28" s="245"/>
      <c r="C28" s="245"/>
      <c r="D28" s="245"/>
      <c r="E28" s="245"/>
      <c r="F28" s="245"/>
      <c r="G28" s="245"/>
      <c r="H28" s="245"/>
      <c r="I28" s="245"/>
      <c r="J28" s="245"/>
      <c r="K28" s="245"/>
      <c r="L28" s="272"/>
    </row>
    <row r="29" spans="1:12" ht="13.2">
      <c r="A29" s="273"/>
      <c r="B29" s="274"/>
      <c r="C29" s="274"/>
      <c r="D29" s="274"/>
      <c r="E29" s="274"/>
      <c r="F29" s="274"/>
      <c r="G29" s="274"/>
      <c r="H29" s="274"/>
      <c r="I29" s="274"/>
      <c r="J29" s="274"/>
      <c r="K29" s="274"/>
      <c r="L29" s="275"/>
    </row>
    <row r="30" spans="1:12" ht="13.2">
      <c r="A30" s="279" t="s">
        <v>297</v>
      </c>
      <c r="B30" s="245"/>
      <c r="C30" s="245"/>
      <c r="D30" s="245"/>
      <c r="E30" s="245"/>
      <c r="F30" s="245"/>
      <c r="G30" s="245"/>
      <c r="H30" s="245"/>
      <c r="I30" s="245"/>
      <c r="J30" s="245"/>
      <c r="K30" s="245"/>
      <c r="L30" s="272"/>
    </row>
    <row r="31" spans="1:12" ht="13.2">
      <c r="A31" s="280"/>
      <c r="B31" s="250"/>
      <c r="C31" s="250"/>
      <c r="D31" s="250"/>
      <c r="E31" s="250"/>
      <c r="F31" s="250"/>
      <c r="G31" s="250"/>
      <c r="H31" s="250"/>
      <c r="I31" s="250"/>
      <c r="J31" s="250"/>
      <c r="K31" s="250"/>
      <c r="L31" s="281"/>
    </row>
    <row r="32" spans="1:12" ht="13.2">
      <c r="A32" s="273"/>
      <c r="B32" s="274"/>
      <c r="C32" s="274"/>
      <c r="D32" s="274"/>
      <c r="E32" s="274"/>
      <c r="F32" s="274"/>
      <c r="G32" s="274"/>
      <c r="H32" s="274"/>
      <c r="I32" s="274"/>
      <c r="J32" s="274"/>
      <c r="K32" s="274"/>
      <c r="L32" s="275"/>
    </row>
    <row r="33" spans="1:12" ht="13.2">
      <c r="A33" s="279" t="s">
        <v>301</v>
      </c>
      <c r="B33" s="245"/>
      <c r="C33" s="245"/>
      <c r="D33" s="245"/>
      <c r="E33" s="245"/>
      <c r="F33" s="245"/>
      <c r="G33" s="245"/>
      <c r="H33" s="245"/>
      <c r="I33" s="245"/>
      <c r="J33" s="245"/>
      <c r="K33" s="245"/>
      <c r="L33" s="272"/>
    </row>
    <row r="34" spans="1:12" ht="13.2">
      <c r="A34" s="273"/>
      <c r="B34" s="274"/>
      <c r="C34" s="274"/>
      <c r="D34" s="274"/>
      <c r="E34" s="274"/>
      <c r="F34" s="274"/>
      <c r="G34" s="274"/>
      <c r="H34" s="274"/>
      <c r="I34" s="274"/>
      <c r="J34" s="274"/>
      <c r="K34" s="274"/>
      <c r="L34" s="275"/>
    </row>
    <row r="35" spans="1:12" ht="13.2">
      <c r="A35" s="279" t="s">
        <v>307</v>
      </c>
      <c r="B35" s="245"/>
      <c r="C35" s="245"/>
      <c r="D35" s="245"/>
      <c r="E35" s="245"/>
      <c r="F35" s="245"/>
      <c r="G35" s="245"/>
      <c r="H35" s="245"/>
      <c r="I35" s="245"/>
      <c r="J35" s="245"/>
      <c r="K35" s="245"/>
      <c r="L35" s="272"/>
    </row>
    <row r="36" spans="1:12" ht="13.2">
      <c r="A36" s="273"/>
      <c r="B36" s="274"/>
      <c r="C36" s="274"/>
      <c r="D36" s="274"/>
      <c r="E36" s="274"/>
      <c r="F36" s="274"/>
      <c r="G36" s="274"/>
      <c r="H36" s="274"/>
      <c r="I36" s="274"/>
      <c r="J36" s="274"/>
      <c r="K36" s="274"/>
      <c r="L36" s="275"/>
    </row>
  </sheetData>
  <mergeCells count="8">
    <mergeCell ref="A30:L32"/>
    <mergeCell ref="A33:L34"/>
    <mergeCell ref="A35:L36"/>
    <mergeCell ref="A2:F2"/>
    <mergeCell ref="A22:L23"/>
    <mergeCell ref="A24:L24"/>
    <mergeCell ref="A25:L27"/>
    <mergeCell ref="A28:L2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workbookViewId="0"/>
  </sheetViews>
  <sheetFormatPr defaultColWidth="12.6640625" defaultRowHeight="15.75" customHeight="1"/>
  <cols>
    <col min="1" max="1" width="23.21875" customWidth="1"/>
    <col min="2" max="2" width="49.6640625" customWidth="1"/>
    <col min="3" max="3" width="15.44140625" customWidth="1"/>
    <col min="4" max="4" width="15.88671875" customWidth="1"/>
    <col min="5" max="5" width="13.33203125" customWidth="1"/>
    <col min="6" max="6" width="14.6640625" customWidth="1"/>
    <col min="7" max="7" width="14.44140625" customWidth="1"/>
    <col min="8" max="8" width="11.44140625" customWidth="1"/>
    <col min="9" max="9" width="14.21875" customWidth="1"/>
    <col min="10" max="10" width="17.6640625" customWidth="1"/>
    <col min="11" max="26" width="8.6640625" customWidth="1"/>
  </cols>
  <sheetData>
    <row r="1" spans="1:26" ht="14.25" customHeight="1">
      <c r="A1" s="154"/>
      <c r="B1" s="154"/>
      <c r="C1" s="154"/>
      <c r="D1" s="154"/>
      <c r="E1" s="154"/>
      <c r="F1" s="154"/>
      <c r="G1" s="154"/>
      <c r="H1" s="154"/>
      <c r="I1" s="154"/>
      <c r="J1" s="154"/>
      <c r="K1" s="154"/>
      <c r="L1" s="154"/>
      <c r="M1" s="154"/>
      <c r="N1" s="154"/>
      <c r="O1" s="154"/>
      <c r="P1" s="154"/>
      <c r="Q1" s="154"/>
      <c r="R1" s="154"/>
      <c r="S1" s="154"/>
      <c r="T1" s="154"/>
      <c r="U1" s="154"/>
      <c r="V1" s="154"/>
      <c r="W1" s="154"/>
      <c r="X1" s="154"/>
      <c r="Y1" s="154"/>
      <c r="Z1" s="154"/>
    </row>
    <row r="2" spans="1:26" ht="14.25" customHeight="1">
      <c r="A2" s="284" t="s">
        <v>288</v>
      </c>
      <c r="B2" s="250"/>
      <c r="C2" s="250"/>
      <c r="D2" s="250"/>
      <c r="E2" s="250"/>
      <c r="F2" s="250"/>
      <c r="G2" s="250"/>
      <c r="H2" s="250"/>
      <c r="I2" s="155"/>
      <c r="J2" s="154"/>
      <c r="K2" s="154"/>
      <c r="L2" s="154"/>
      <c r="M2" s="154"/>
      <c r="N2" s="154"/>
      <c r="O2" s="154"/>
      <c r="P2" s="154"/>
      <c r="Q2" s="154"/>
      <c r="R2" s="154"/>
      <c r="S2" s="154"/>
      <c r="T2" s="154"/>
      <c r="U2" s="154"/>
      <c r="V2" s="154"/>
      <c r="W2" s="154"/>
      <c r="X2" s="154"/>
      <c r="Y2" s="154"/>
      <c r="Z2" s="154"/>
    </row>
    <row r="3" spans="1:26" ht="14.25" customHeight="1">
      <c r="A3" s="154"/>
      <c r="B3" s="154"/>
      <c r="C3" s="154"/>
      <c r="D3" s="154"/>
      <c r="E3" s="154"/>
      <c r="F3" s="154"/>
      <c r="G3" s="154"/>
      <c r="H3" s="154"/>
      <c r="I3" s="154"/>
      <c r="J3" s="154"/>
      <c r="K3" s="154"/>
      <c r="L3" s="154"/>
      <c r="M3" s="154"/>
      <c r="N3" s="154"/>
      <c r="O3" s="154"/>
      <c r="P3" s="154"/>
      <c r="Q3" s="154"/>
      <c r="R3" s="154"/>
      <c r="S3" s="154"/>
      <c r="T3" s="154"/>
      <c r="U3" s="154"/>
      <c r="V3" s="154"/>
      <c r="W3" s="154"/>
      <c r="X3" s="154"/>
      <c r="Y3" s="154"/>
      <c r="Z3" s="154"/>
    </row>
    <row r="4" spans="1:26" ht="14.25" customHeight="1">
      <c r="A4" s="156" t="s">
        <v>291</v>
      </c>
      <c r="B4" s="156" t="s">
        <v>285</v>
      </c>
      <c r="C4" s="154"/>
      <c r="D4" s="154"/>
      <c r="E4" s="285"/>
      <c r="F4" s="250"/>
      <c r="G4" s="250"/>
      <c r="H4" s="154"/>
      <c r="I4" s="154"/>
      <c r="J4" s="154"/>
      <c r="K4" s="154"/>
      <c r="L4" s="154"/>
      <c r="M4" s="154"/>
      <c r="N4" s="154"/>
      <c r="O4" s="154"/>
      <c r="P4" s="154"/>
      <c r="Q4" s="154"/>
      <c r="R4" s="154"/>
      <c r="S4" s="154"/>
      <c r="T4" s="154"/>
      <c r="U4" s="154"/>
      <c r="V4" s="154"/>
      <c r="W4" s="154"/>
      <c r="X4" s="154"/>
      <c r="Y4" s="154"/>
      <c r="Z4" s="154"/>
    </row>
    <row r="5" spans="1:26" ht="14.25" customHeight="1">
      <c r="A5" s="158" t="s">
        <v>294</v>
      </c>
      <c r="B5" s="158" t="s">
        <v>295</v>
      </c>
      <c r="C5" s="154"/>
      <c r="D5" s="154"/>
      <c r="E5" s="154"/>
      <c r="F5" s="154"/>
      <c r="G5" s="154"/>
      <c r="H5" s="154"/>
      <c r="I5" s="154"/>
      <c r="J5" s="154"/>
      <c r="K5" s="154"/>
      <c r="L5" s="154"/>
      <c r="M5" s="154"/>
      <c r="N5" s="154"/>
      <c r="O5" s="154"/>
      <c r="P5" s="154"/>
      <c r="Q5" s="154"/>
      <c r="R5" s="154"/>
      <c r="S5" s="154"/>
      <c r="T5" s="154"/>
      <c r="U5" s="154"/>
      <c r="V5" s="154"/>
      <c r="W5" s="154"/>
      <c r="X5" s="154"/>
      <c r="Y5" s="154"/>
      <c r="Z5" s="154"/>
    </row>
    <row r="6" spans="1:26" ht="14.25" customHeight="1">
      <c r="A6" s="158" t="s">
        <v>296</v>
      </c>
      <c r="B6" s="158" t="s">
        <v>298</v>
      </c>
      <c r="C6" s="154"/>
      <c r="D6" s="154"/>
      <c r="E6" s="154"/>
      <c r="F6" s="154"/>
      <c r="G6" s="154"/>
      <c r="H6" s="154"/>
      <c r="I6" s="154"/>
      <c r="J6" s="154"/>
      <c r="K6" s="154"/>
      <c r="L6" s="154"/>
      <c r="M6" s="154"/>
      <c r="N6" s="154"/>
      <c r="O6" s="154"/>
      <c r="P6" s="154"/>
      <c r="Q6" s="154"/>
      <c r="R6" s="154"/>
      <c r="S6" s="154"/>
      <c r="T6" s="154"/>
      <c r="U6" s="154"/>
      <c r="V6" s="154"/>
      <c r="W6" s="154"/>
      <c r="X6" s="154"/>
      <c r="Y6" s="154"/>
      <c r="Z6" s="154"/>
    </row>
    <row r="7" spans="1:26" ht="14.25" customHeight="1">
      <c r="A7" s="158" t="s">
        <v>299</v>
      </c>
      <c r="B7" s="158" t="s">
        <v>300</v>
      </c>
      <c r="C7" s="154"/>
      <c r="D7" s="154"/>
      <c r="E7" s="154"/>
      <c r="F7" s="154"/>
      <c r="G7" s="154"/>
      <c r="H7" s="154"/>
      <c r="I7" s="154"/>
      <c r="J7" s="154"/>
      <c r="K7" s="154"/>
      <c r="L7" s="154"/>
      <c r="M7" s="154"/>
      <c r="N7" s="154"/>
      <c r="O7" s="154"/>
      <c r="P7" s="154"/>
      <c r="Q7" s="154"/>
      <c r="R7" s="154"/>
      <c r="S7" s="154"/>
      <c r="T7" s="154"/>
      <c r="U7" s="154"/>
      <c r="V7" s="154"/>
      <c r="W7" s="154"/>
      <c r="X7" s="154"/>
      <c r="Y7" s="154"/>
      <c r="Z7" s="154"/>
    </row>
    <row r="8" spans="1:26" ht="14.25" customHeight="1">
      <c r="A8" s="154"/>
      <c r="B8" s="154"/>
      <c r="C8" s="154"/>
      <c r="D8" s="154"/>
      <c r="E8" s="154"/>
      <c r="F8" s="154"/>
      <c r="G8" s="154"/>
      <c r="H8" s="154"/>
      <c r="I8" s="154"/>
      <c r="J8" s="154"/>
      <c r="K8" s="154"/>
      <c r="L8" s="154"/>
      <c r="M8" s="154"/>
      <c r="N8" s="154"/>
      <c r="O8" s="154"/>
      <c r="P8" s="154"/>
      <c r="Q8" s="154"/>
      <c r="R8" s="154"/>
      <c r="S8" s="154"/>
      <c r="T8" s="154"/>
      <c r="U8" s="154"/>
      <c r="V8" s="154"/>
      <c r="W8" s="154"/>
      <c r="X8" s="154"/>
      <c r="Y8" s="154"/>
      <c r="Z8" s="154"/>
    </row>
    <row r="9" spans="1:26" ht="14.25" customHeight="1">
      <c r="A9" s="154"/>
      <c r="B9" s="154"/>
      <c r="C9" s="154"/>
      <c r="D9" s="154"/>
      <c r="E9" s="154"/>
      <c r="F9" s="154"/>
      <c r="G9" s="154"/>
      <c r="H9" s="154"/>
      <c r="I9" s="154"/>
      <c r="J9" s="154"/>
      <c r="K9" s="154"/>
      <c r="L9" s="154"/>
      <c r="M9" s="154"/>
      <c r="N9" s="154"/>
      <c r="O9" s="154"/>
      <c r="P9" s="154"/>
      <c r="Q9" s="154"/>
      <c r="R9" s="154"/>
      <c r="S9" s="154"/>
      <c r="T9" s="154"/>
      <c r="U9" s="154"/>
      <c r="V9" s="154"/>
      <c r="W9" s="154"/>
      <c r="X9" s="154"/>
      <c r="Y9" s="154"/>
      <c r="Z9" s="154"/>
    </row>
    <row r="10" spans="1:26" ht="14.25" customHeight="1">
      <c r="A10" s="159" t="s">
        <v>258</v>
      </c>
      <c r="B10" s="159" t="s">
        <v>302</v>
      </c>
      <c r="C10" s="159" t="s">
        <v>303</v>
      </c>
      <c r="D10" s="159" t="s">
        <v>304</v>
      </c>
      <c r="E10" s="159" t="s">
        <v>108</v>
      </c>
      <c r="F10" s="159" t="s">
        <v>274</v>
      </c>
      <c r="G10" s="159" t="s">
        <v>305</v>
      </c>
      <c r="H10" s="159" t="s">
        <v>272</v>
      </c>
      <c r="I10" s="159" t="s">
        <v>306</v>
      </c>
      <c r="J10" s="154"/>
      <c r="T10" s="154"/>
      <c r="U10" s="154"/>
      <c r="V10" s="154"/>
      <c r="W10" s="154"/>
      <c r="X10" s="154"/>
      <c r="Y10" s="154"/>
      <c r="Z10" s="154"/>
    </row>
    <row r="11" spans="1:26" ht="14.25" customHeight="1">
      <c r="A11" s="160" t="s">
        <v>177</v>
      </c>
      <c r="B11" s="161">
        <v>2799</v>
      </c>
      <c r="C11" s="161">
        <v>47199</v>
      </c>
      <c r="D11" s="161">
        <v>10598</v>
      </c>
      <c r="E11" s="161">
        <v>47434</v>
      </c>
      <c r="F11" s="161">
        <v>20682</v>
      </c>
      <c r="G11" s="161">
        <v>45996</v>
      </c>
      <c r="H11" s="161">
        <v>68116</v>
      </c>
      <c r="I11" s="162">
        <v>3.59</v>
      </c>
      <c r="J11" s="154"/>
      <c r="T11" s="154"/>
      <c r="U11" s="154"/>
      <c r="V11" s="154"/>
      <c r="W11" s="154"/>
      <c r="X11" s="154"/>
      <c r="Y11" s="154"/>
      <c r="Z11" s="154"/>
    </row>
    <row r="12" spans="1:26" ht="14.25" customHeight="1">
      <c r="A12" s="163" t="s">
        <v>179</v>
      </c>
      <c r="B12" s="164">
        <v>3703</v>
      </c>
      <c r="C12" s="164">
        <v>48525</v>
      </c>
      <c r="D12" s="164">
        <v>11837</v>
      </c>
      <c r="E12" s="164">
        <v>48760</v>
      </c>
      <c r="F12" s="164">
        <v>20977</v>
      </c>
      <c r="G12" s="164">
        <v>51193</v>
      </c>
      <c r="H12" s="164">
        <v>69737</v>
      </c>
      <c r="I12" s="165">
        <v>3.72</v>
      </c>
      <c r="J12" s="154"/>
      <c r="T12" s="154"/>
      <c r="U12" s="154"/>
      <c r="V12" s="154"/>
      <c r="W12" s="154"/>
      <c r="X12" s="154"/>
      <c r="Y12" s="154"/>
      <c r="Z12" s="154"/>
    </row>
    <row r="13" spans="1:26" ht="14.25" customHeight="1">
      <c r="A13" s="166" t="s">
        <v>180</v>
      </c>
      <c r="B13" s="161">
        <v>4422</v>
      </c>
      <c r="C13" s="161">
        <v>49986</v>
      </c>
      <c r="D13" s="161">
        <v>13180</v>
      </c>
      <c r="E13" s="161">
        <v>50221</v>
      </c>
      <c r="F13" s="161">
        <v>21604</v>
      </c>
      <c r="G13" s="161">
        <v>59144</v>
      </c>
      <c r="H13" s="161">
        <v>71825</v>
      </c>
      <c r="I13" s="162">
        <v>3.87</v>
      </c>
      <c r="J13" s="154"/>
      <c r="T13" s="154"/>
      <c r="U13" s="154"/>
      <c r="V13" s="154"/>
      <c r="W13" s="154"/>
      <c r="X13" s="154"/>
      <c r="Y13" s="154"/>
      <c r="Z13" s="154"/>
    </row>
    <row r="14" spans="1:26" ht="14.25" customHeight="1">
      <c r="A14" s="166" t="s">
        <v>6</v>
      </c>
      <c r="B14" s="161">
        <v>7893</v>
      </c>
      <c r="C14" s="161">
        <v>50738</v>
      </c>
      <c r="D14" s="161">
        <v>13977</v>
      </c>
      <c r="E14" s="161">
        <v>50973</v>
      </c>
      <c r="F14" s="161">
        <v>26103</v>
      </c>
      <c r="G14" s="161">
        <v>60469</v>
      </c>
      <c r="H14" s="161">
        <v>77076</v>
      </c>
      <c r="I14" s="162">
        <v>3.59</v>
      </c>
      <c r="J14" s="154"/>
      <c r="T14" s="154"/>
      <c r="U14" s="154"/>
      <c r="V14" s="154"/>
      <c r="W14" s="154"/>
      <c r="X14" s="154"/>
      <c r="Y14" s="154"/>
      <c r="Z14" s="154"/>
    </row>
    <row r="15" spans="1:26" ht="14.25" customHeight="1">
      <c r="A15" s="163" t="s">
        <v>7</v>
      </c>
      <c r="B15" s="164">
        <v>5227</v>
      </c>
      <c r="C15" s="164">
        <v>48918</v>
      </c>
      <c r="D15" s="164">
        <v>14664</v>
      </c>
      <c r="E15" s="164">
        <v>49153</v>
      </c>
      <c r="F15" s="164">
        <v>29160</v>
      </c>
      <c r="G15" s="164">
        <v>61469</v>
      </c>
      <c r="H15" s="164">
        <v>78313</v>
      </c>
      <c r="I15" s="165">
        <v>3.34</v>
      </c>
      <c r="J15" s="154"/>
      <c r="T15" s="154"/>
      <c r="U15" s="154"/>
      <c r="V15" s="154"/>
      <c r="W15" s="154"/>
      <c r="X15" s="154"/>
      <c r="Y15" s="154"/>
      <c r="Z15" s="154"/>
    </row>
    <row r="16" spans="1:26" ht="14.25" customHeight="1">
      <c r="A16" s="154"/>
      <c r="B16" s="154"/>
      <c r="C16" s="154"/>
      <c r="D16" s="154"/>
      <c r="E16" s="154"/>
      <c r="F16" s="154"/>
      <c r="G16" s="154"/>
      <c r="H16" s="154"/>
      <c r="I16" s="154"/>
      <c r="J16" s="154"/>
      <c r="K16" s="154"/>
      <c r="L16" s="154"/>
      <c r="M16" s="154"/>
      <c r="N16" s="154"/>
      <c r="O16" s="154"/>
      <c r="P16" s="154"/>
      <c r="Q16" s="154"/>
      <c r="R16" s="154"/>
      <c r="S16" s="154"/>
      <c r="T16" s="154"/>
      <c r="U16" s="154"/>
      <c r="V16" s="154"/>
      <c r="W16" s="154"/>
      <c r="X16" s="154"/>
      <c r="Y16" s="154"/>
      <c r="Z16" s="154"/>
    </row>
    <row r="17" spans="1:26" ht="14.25" customHeight="1">
      <c r="A17" s="154"/>
      <c r="B17" s="154"/>
      <c r="C17" s="154"/>
      <c r="D17" s="154"/>
      <c r="E17" s="154"/>
      <c r="F17" s="154"/>
      <c r="G17" s="154"/>
      <c r="H17" s="154"/>
      <c r="I17" s="154"/>
      <c r="J17" s="154"/>
      <c r="K17" s="154"/>
      <c r="L17" s="154"/>
      <c r="M17" s="154"/>
      <c r="N17" s="154"/>
      <c r="O17" s="154"/>
      <c r="P17" s="154"/>
      <c r="Q17" s="154"/>
      <c r="R17" s="154"/>
      <c r="S17" s="154"/>
      <c r="T17" s="154"/>
      <c r="U17" s="154"/>
      <c r="V17" s="154"/>
      <c r="W17" s="154"/>
      <c r="X17" s="154"/>
      <c r="Y17" s="154"/>
      <c r="Z17" s="154"/>
    </row>
    <row r="18" spans="1:26" ht="14.25" customHeight="1">
      <c r="A18" s="286" t="s">
        <v>308</v>
      </c>
      <c r="B18" s="247"/>
      <c r="C18" s="247"/>
      <c r="D18" s="247"/>
      <c r="E18" s="247"/>
      <c r="F18" s="247"/>
      <c r="G18" s="248"/>
      <c r="H18" s="154"/>
      <c r="I18" s="154"/>
      <c r="J18" s="154"/>
      <c r="K18" s="154"/>
      <c r="L18" s="154"/>
      <c r="M18" s="154"/>
      <c r="N18" s="154"/>
      <c r="O18" s="154"/>
      <c r="P18" s="154"/>
      <c r="Q18" s="154"/>
      <c r="R18" s="154"/>
      <c r="S18" s="154"/>
      <c r="T18" s="154"/>
      <c r="U18" s="154"/>
      <c r="V18" s="154"/>
      <c r="W18" s="154"/>
      <c r="X18" s="154"/>
      <c r="Y18" s="154"/>
      <c r="Z18" s="154"/>
    </row>
    <row r="19" spans="1:26" ht="14.25" customHeight="1">
      <c r="A19" s="159" t="s">
        <v>309</v>
      </c>
      <c r="B19" s="159" t="s">
        <v>310</v>
      </c>
      <c r="C19" s="159" t="s">
        <v>177</v>
      </c>
      <c r="D19" s="159" t="s">
        <v>179</v>
      </c>
      <c r="E19" s="159" t="s">
        <v>180</v>
      </c>
      <c r="F19" s="159" t="s">
        <v>6</v>
      </c>
      <c r="G19" s="159" t="s">
        <v>7</v>
      </c>
      <c r="H19" s="154"/>
      <c r="J19" s="154"/>
      <c r="K19" s="154"/>
      <c r="L19" s="154"/>
      <c r="M19" s="154"/>
      <c r="N19" s="154"/>
      <c r="O19" s="154"/>
      <c r="P19" s="154"/>
      <c r="Q19" s="154"/>
      <c r="R19" s="154"/>
      <c r="S19" s="154"/>
      <c r="T19" s="154"/>
      <c r="U19" s="154"/>
      <c r="V19" s="154"/>
      <c r="W19" s="154"/>
      <c r="X19" s="154"/>
      <c r="Y19" s="154"/>
      <c r="Z19" s="154"/>
    </row>
    <row r="20" spans="1:26" ht="14.25" customHeight="1">
      <c r="A20" s="167" t="s">
        <v>311</v>
      </c>
      <c r="B20" s="168" t="s">
        <v>312</v>
      </c>
      <c r="C20" s="168">
        <v>2799</v>
      </c>
      <c r="D20" s="168">
        <v>3703</v>
      </c>
      <c r="E20" s="168">
        <v>4422</v>
      </c>
      <c r="F20" s="168">
        <v>7893</v>
      </c>
      <c r="G20" s="169">
        <v>5227</v>
      </c>
      <c r="H20" s="154"/>
      <c r="J20" s="154"/>
      <c r="K20" s="154"/>
      <c r="L20" s="154"/>
      <c r="M20" s="154"/>
      <c r="N20" s="154"/>
      <c r="O20" s="154"/>
      <c r="P20" s="154"/>
      <c r="Q20" s="154"/>
      <c r="R20" s="154"/>
      <c r="S20" s="154"/>
      <c r="T20" s="154"/>
      <c r="U20" s="154"/>
      <c r="V20" s="154"/>
      <c r="W20" s="154"/>
      <c r="X20" s="154"/>
      <c r="Y20" s="154"/>
      <c r="Z20" s="154"/>
    </row>
    <row r="21" spans="1:26" ht="14.25" customHeight="1">
      <c r="A21" s="170" t="s">
        <v>313</v>
      </c>
      <c r="B21" s="171" t="s">
        <v>314</v>
      </c>
      <c r="C21" s="161">
        <v>47199</v>
      </c>
      <c r="D21" s="161">
        <v>48525</v>
      </c>
      <c r="E21" s="161">
        <v>49986</v>
      </c>
      <c r="F21" s="161">
        <v>50738</v>
      </c>
      <c r="G21" s="172">
        <v>48918</v>
      </c>
      <c r="H21" s="154"/>
      <c r="J21" s="154"/>
      <c r="K21" s="154"/>
      <c r="L21" s="154"/>
      <c r="M21" s="154"/>
      <c r="N21" s="154"/>
      <c r="O21" s="154"/>
      <c r="P21" s="154"/>
      <c r="Q21" s="154"/>
      <c r="R21" s="154"/>
      <c r="S21" s="154"/>
      <c r="T21" s="154"/>
      <c r="U21" s="154"/>
      <c r="V21" s="154"/>
      <c r="W21" s="154"/>
      <c r="X21" s="154"/>
      <c r="Y21" s="154"/>
      <c r="Z21" s="154"/>
    </row>
    <row r="22" spans="1:26" ht="14.25" customHeight="1">
      <c r="A22" s="170" t="s">
        <v>315</v>
      </c>
      <c r="B22" s="171" t="s">
        <v>316</v>
      </c>
      <c r="C22" s="161">
        <v>10717</v>
      </c>
      <c r="D22" s="161">
        <v>11773</v>
      </c>
      <c r="E22" s="161">
        <v>13141</v>
      </c>
      <c r="F22" s="161">
        <v>13764</v>
      </c>
      <c r="G22" s="172">
        <v>13878</v>
      </c>
      <c r="H22" s="154"/>
      <c r="J22" s="154"/>
      <c r="K22" s="154"/>
      <c r="L22" s="154"/>
      <c r="M22" s="154"/>
      <c r="N22" s="154"/>
      <c r="O22" s="154"/>
      <c r="P22" s="154"/>
      <c r="Q22" s="154"/>
      <c r="R22" s="154"/>
      <c r="S22" s="154"/>
      <c r="T22" s="154"/>
      <c r="U22" s="154"/>
      <c r="V22" s="154"/>
      <c r="W22" s="154"/>
      <c r="X22" s="154"/>
      <c r="Y22" s="154"/>
      <c r="Z22" s="154"/>
    </row>
    <row r="23" spans="1:26" ht="14.25" customHeight="1">
      <c r="A23" s="170" t="s">
        <v>317</v>
      </c>
      <c r="B23" s="171" t="s">
        <v>318</v>
      </c>
      <c r="C23" s="161">
        <v>47434</v>
      </c>
      <c r="D23" s="161">
        <v>48760</v>
      </c>
      <c r="E23" s="161">
        <v>50221</v>
      </c>
      <c r="F23" s="161">
        <v>50973</v>
      </c>
      <c r="G23" s="172">
        <v>49153</v>
      </c>
      <c r="H23" s="154"/>
      <c r="J23" s="154"/>
      <c r="K23" s="154"/>
      <c r="L23" s="154"/>
      <c r="M23" s="154"/>
      <c r="N23" s="154"/>
      <c r="O23" s="154"/>
      <c r="P23" s="154"/>
      <c r="Q23" s="154"/>
      <c r="R23" s="154"/>
      <c r="S23" s="154"/>
      <c r="T23" s="154"/>
      <c r="U23" s="154"/>
      <c r="V23" s="154"/>
      <c r="W23" s="154"/>
      <c r="X23" s="154"/>
      <c r="Y23" s="154"/>
      <c r="Z23" s="154"/>
    </row>
    <row r="24" spans="1:26" ht="14.25" customHeight="1">
      <c r="A24" s="170" t="s">
        <v>217</v>
      </c>
      <c r="B24" s="171" t="s">
        <v>122</v>
      </c>
      <c r="C24" s="161">
        <v>45996</v>
      </c>
      <c r="D24" s="161">
        <v>51193</v>
      </c>
      <c r="E24" s="161">
        <v>59144</v>
      </c>
      <c r="F24" s="161">
        <v>60469</v>
      </c>
      <c r="G24" s="172">
        <v>61469</v>
      </c>
      <c r="H24" s="154"/>
      <c r="J24" s="154"/>
      <c r="K24" s="154"/>
      <c r="L24" s="154"/>
      <c r="M24" s="154"/>
      <c r="N24" s="154"/>
      <c r="O24" s="154"/>
      <c r="P24" s="154"/>
      <c r="Q24" s="154"/>
      <c r="R24" s="154"/>
      <c r="S24" s="154"/>
      <c r="T24" s="154"/>
      <c r="U24" s="154"/>
      <c r="V24" s="154"/>
      <c r="W24" s="154"/>
      <c r="X24" s="154"/>
      <c r="Y24" s="154"/>
      <c r="Z24" s="154"/>
    </row>
    <row r="25" spans="1:26" ht="14.25" customHeight="1">
      <c r="A25" s="170" t="s">
        <v>319</v>
      </c>
      <c r="B25" s="171" t="s">
        <v>320</v>
      </c>
      <c r="C25" s="161">
        <v>68116</v>
      </c>
      <c r="D25" s="161">
        <v>69737</v>
      </c>
      <c r="E25" s="161">
        <v>71825</v>
      </c>
      <c r="F25" s="161">
        <v>77076</v>
      </c>
      <c r="G25" s="172">
        <v>78313</v>
      </c>
      <c r="H25" s="154"/>
      <c r="J25" s="154"/>
      <c r="K25" s="154"/>
      <c r="L25" s="154"/>
      <c r="M25" s="154"/>
      <c r="N25" s="154"/>
      <c r="O25" s="154"/>
      <c r="P25" s="154"/>
      <c r="Q25" s="154"/>
      <c r="R25" s="154"/>
      <c r="S25" s="154"/>
      <c r="T25" s="154"/>
      <c r="U25" s="154"/>
      <c r="V25" s="154"/>
      <c r="W25" s="154"/>
      <c r="X25" s="154"/>
      <c r="Y25" s="154"/>
      <c r="Z25" s="154"/>
    </row>
    <row r="26" spans="1:26" ht="14.25" customHeight="1">
      <c r="A26" s="173" t="s">
        <v>321</v>
      </c>
      <c r="B26" s="174" t="s">
        <v>322</v>
      </c>
      <c r="C26" s="175">
        <v>20682</v>
      </c>
      <c r="D26" s="175">
        <v>20977</v>
      </c>
      <c r="E26" s="175">
        <v>21604</v>
      </c>
      <c r="F26" s="175">
        <v>26103</v>
      </c>
      <c r="G26" s="176">
        <v>29160</v>
      </c>
      <c r="H26" s="154"/>
      <c r="J26" s="154"/>
      <c r="K26" s="154"/>
      <c r="L26" s="154"/>
      <c r="M26" s="154"/>
      <c r="N26" s="154"/>
      <c r="O26" s="154"/>
      <c r="P26" s="154"/>
      <c r="Q26" s="154"/>
      <c r="R26" s="154"/>
      <c r="S26" s="154"/>
      <c r="T26" s="154"/>
      <c r="U26" s="154"/>
      <c r="V26" s="154"/>
      <c r="W26" s="154"/>
      <c r="X26" s="154"/>
      <c r="Y26" s="154"/>
      <c r="Z26" s="154"/>
    </row>
    <row r="27" spans="1:26" ht="14.25" customHeight="1">
      <c r="A27" s="154"/>
      <c r="B27" s="154"/>
      <c r="C27" s="154"/>
      <c r="D27" s="154"/>
      <c r="E27" s="154"/>
      <c r="F27" s="154"/>
      <c r="G27" s="154"/>
      <c r="H27" s="154"/>
      <c r="I27" s="154"/>
      <c r="J27" s="154"/>
      <c r="K27" s="154"/>
      <c r="L27" s="154"/>
      <c r="M27" s="154"/>
      <c r="N27" s="154"/>
      <c r="O27" s="154"/>
      <c r="P27" s="154"/>
      <c r="Q27" s="154"/>
      <c r="R27" s="154"/>
      <c r="S27" s="154"/>
      <c r="T27" s="154"/>
      <c r="U27" s="154"/>
      <c r="V27" s="154"/>
      <c r="W27" s="154"/>
      <c r="X27" s="154"/>
      <c r="Y27" s="154"/>
      <c r="Z27" s="154"/>
    </row>
    <row r="28" spans="1:26" ht="14.25" customHeight="1">
      <c r="A28" s="154"/>
      <c r="B28" s="154"/>
      <c r="C28" s="154"/>
      <c r="D28" s="154"/>
      <c r="E28" s="154"/>
      <c r="F28" s="154"/>
      <c r="G28" s="154"/>
      <c r="H28" s="154"/>
      <c r="I28" s="154"/>
      <c r="J28" s="154"/>
      <c r="K28" s="154"/>
      <c r="L28" s="154"/>
      <c r="M28" s="154"/>
      <c r="N28" s="154"/>
      <c r="O28" s="154"/>
      <c r="P28" s="154"/>
      <c r="Q28" s="154"/>
      <c r="R28" s="154"/>
      <c r="S28" s="154"/>
      <c r="T28" s="154"/>
      <c r="U28" s="154"/>
      <c r="V28" s="154"/>
      <c r="W28" s="154"/>
      <c r="X28" s="154"/>
      <c r="Y28" s="154"/>
      <c r="Z28" s="154"/>
    </row>
    <row r="29" spans="1:26" ht="34.5" customHeight="1">
      <c r="A29" s="286" t="s">
        <v>323</v>
      </c>
      <c r="B29" s="247"/>
      <c r="C29" s="247"/>
      <c r="D29" s="247"/>
      <c r="E29" s="247"/>
      <c r="F29" s="247"/>
      <c r="G29" s="248"/>
      <c r="H29" s="154"/>
      <c r="I29" s="154"/>
      <c r="J29" s="154"/>
      <c r="K29" s="154"/>
      <c r="L29" s="154"/>
      <c r="M29" s="154"/>
      <c r="N29" s="154"/>
      <c r="O29" s="154"/>
      <c r="P29" s="154"/>
      <c r="Q29" s="154"/>
      <c r="R29" s="154"/>
      <c r="S29" s="154"/>
      <c r="T29" s="154"/>
      <c r="U29" s="154"/>
      <c r="V29" s="154"/>
      <c r="W29" s="154"/>
      <c r="X29" s="154"/>
      <c r="Y29" s="154"/>
      <c r="Z29" s="154"/>
    </row>
    <row r="30" spans="1:26" ht="14.25" customHeight="1">
      <c r="A30" s="177" t="s">
        <v>324</v>
      </c>
      <c r="B30" s="178" t="s">
        <v>325</v>
      </c>
      <c r="C30" s="179" t="s">
        <v>177</v>
      </c>
      <c r="D30" s="179" t="s">
        <v>179</v>
      </c>
      <c r="E30" s="178" t="s">
        <v>180</v>
      </c>
      <c r="F30" s="179" t="s">
        <v>6</v>
      </c>
      <c r="G30" s="180" t="s">
        <v>7</v>
      </c>
      <c r="H30" s="154"/>
      <c r="I30" s="154"/>
      <c r="J30" s="154"/>
      <c r="K30" s="154"/>
      <c r="L30" s="154"/>
      <c r="M30" s="154"/>
      <c r="N30" s="154"/>
      <c r="O30" s="154"/>
      <c r="P30" s="154"/>
      <c r="Q30" s="154"/>
      <c r="R30" s="154"/>
      <c r="S30" s="154"/>
      <c r="T30" s="154"/>
      <c r="U30" s="154"/>
      <c r="V30" s="154"/>
      <c r="W30" s="154"/>
      <c r="X30" s="154"/>
      <c r="Y30" s="154"/>
      <c r="Z30" s="154"/>
    </row>
    <row r="31" spans="1:26" ht="14.25" customHeight="1">
      <c r="A31" s="181" t="s">
        <v>326</v>
      </c>
      <c r="B31" s="182" t="s">
        <v>327</v>
      </c>
      <c r="C31" s="183">
        <f t="shared" ref="C31:G31" si="0">C20/C25</f>
        <v>4.1091667156027953E-2</v>
      </c>
      <c r="D31" s="183">
        <f t="shared" si="0"/>
        <v>5.3099502416220946E-2</v>
      </c>
      <c r="E31" s="183">
        <f t="shared" si="0"/>
        <v>6.1566306996171251E-2</v>
      </c>
      <c r="F31" s="183">
        <f t="shared" si="0"/>
        <v>0.10240541802895843</v>
      </c>
      <c r="G31" s="184">
        <f t="shared" si="0"/>
        <v>6.6744984868412655E-2</v>
      </c>
      <c r="H31" s="154"/>
      <c r="I31" s="154"/>
      <c r="J31" s="154"/>
      <c r="K31" s="154"/>
      <c r="L31" s="154"/>
      <c r="M31" s="154"/>
      <c r="N31" s="154"/>
      <c r="O31" s="154"/>
      <c r="P31" s="154"/>
      <c r="Q31" s="154"/>
      <c r="R31" s="154"/>
      <c r="S31" s="154"/>
      <c r="T31" s="154"/>
      <c r="U31" s="154"/>
      <c r="V31" s="154"/>
      <c r="W31" s="154"/>
      <c r="X31" s="154"/>
      <c r="Y31" s="154"/>
      <c r="Z31" s="154"/>
    </row>
    <row r="32" spans="1:26" ht="14.25" customHeight="1">
      <c r="A32" s="181" t="s">
        <v>328</v>
      </c>
      <c r="B32" s="182" t="s">
        <v>329</v>
      </c>
      <c r="C32" s="185">
        <f t="shared" ref="C32:G32" si="1">C21/C25</f>
        <v>0.69292089964178749</v>
      </c>
      <c r="D32" s="185">
        <f t="shared" si="1"/>
        <v>0.69582861321823419</v>
      </c>
      <c r="E32" s="185">
        <f t="shared" si="1"/>
        <v>0.69594152453880964</v>
      </c>
      <c r="F32" s="185">
        <f t="shared" si="1"/>
        <v>0.65828532876641233</v>
      </c>
      <c r="G32" s="187">
        <f t="shared" si="1"/>
        <v>0.62464724886034251</v>
      </c>
      <c r="H32" s="154"/>
      <c r="I32" s="154"/>
      <c r="J32" s="154"/>
      <c r="K32" s="154"/>
      <c r="L32" s="154"/>
      <c r="M32" s="154"/>
      <c r="N32" s="154"/>
      <c r="O32" s="154"/>
      <c r="P32" s="154"/>
      <c r="Q32" s="154"/>
      <c r="R32" s="154"/>
      <c r="S32" s="154"/>
      <c r="T32" s="154"/>
      <c r="U32" s="154"/>
      <c r="V32" s="154"/>
      <c r="W32" s="154"/>
      <c r="X32" s="154"/>
      <c r="Y32" s="154"/>
      <c r="Z32" s="154"/>
    </row>
    <row r="33" spans="1:26" ht="14.25" customHeight="1">
      <c r="A33" s="181" t="s">
        <v>330</v>
      </c>
      <c r="B33" s="182" t="s">
        <v>331</v>
      </c>
      <c r="C33" s="185">
        <f t="shared" ref="C33:G33" si="2">C22/C25</f>
        <v>0.15733454694932175</v>
      </c>
      <c r="D33" s="185">
        <f t="shared" si="2"/>
        <v>0.16881999512453935</v>
      </c>
      <c r="E33" s="185">
        <f t="shared" si="2"/>
        <v>0.18295857988165681</v>
      </c>
      <c r="F33" s="185">
        <f t="shared" si="2"/>
        <v>0.1785769889459754</v>
      </c>
      <c r="G33" s="187">
        <f t="shared" si="2"/>
        <v>0.1772119571463231</v>
      </c>
      <c r="H33" s="154"/>
      <c r="I33" s="154"/>
      <c r="J33" s="154"/>
      <c r="K33" s="154"/>
      <c r="L33" s="154"/>
      <c r="M33" s="154"/>
      <c r="N33" s="154"/>
      <c r="O33" s="154"/>
      <c r="P33" s="154"/>
      <c r="Q33" s="154"/>
      <c r="R33" s="154"/>
      <c r="S33" s="154"/>
      <c r="T33" s="154"/>
      <c r="U33" s="154"/>
      <c r="V33" s="154"/>
      <c r="W33" s="154"/>
      <c r="X33" s="154"/>
      <c r="Y33" s="154"/>
      <c r="Z33" s="154"/>
    </row>
    <row r="34" spans="1:26" ht="14.25" customHeight="1">
      <c r="A34" s="181" t="s">
        <v>332</v>
      </c>
      <c r="B34" s="182" t="s">
        <v>333</v>
      </c>
      <c r="C34" s="185">
        <f t="shared" ref="C34:G34" si="3">C23/C26</f>
        <v>2.2934919253457111</v>
      </c>
      <c r="D34" s="185">
        <f t="shared" si="3"/>
        <v>2.3244505887400488</v>
      </c>
      <c r="E34" s="185">
        <f t="shared" si="3"/>
        <v>2.3246158118866878</v>
      </c>
      <c r="F34" s="185">
        <f t="shared" si="3"/>
        <v>1.9527640501091827</v>
      </c>
      <c r="G34" s="187">
        <f t="shared" si="3"/>
        <v>1.6856310013717422</v>
      </c>
      <c r="H34" s="154"/>
      <c r="I34" s="154"/>
      <c r="J34" s="154"/>
      <c r="K34" s="154"/>
      <c r="L34" s="154"/>
      <c r="M34" s="154"/>
      <c r="N34" s="154"/>
      <c r="O34" s="154"/>
      <c r="P34" s="154"/>
      <c r="Q34" s="154"/>
      <c r="R34" s="154"/>
      <c r="S34" s="154"/>
      <c r="T34" s="154"/>
      <c r="U34" s="154"/>
      <c r="V34" s="154"/>
      <c r="W34" s="154"/>
      <c r="X34" s="154"/>
      <c r="Y34" s="154"/>
      <c r="Z34" s="154"/>
    </row>
    <row r="35" spans="1:26" ht="14.25" customHeight="1">
      <c r="A35" s="181" t="s">
        <v>335</v>
      </c>
      <c r="B35" s="182" t="s">
        <v>336</v>
      </c>
      <c r="C35" s="185">
        <f t="shared" ref="C35:G35" si="4">C24/C25</f>
        <v>0.67525985084268014</v>
      </c>
      <c r="D35" s="185">
        <f t="shared" si="4"/>
        <v>0.73408663980383437</v>
      </c>
      <c r="E35" s="185">
        <f t="shared" si="4"/>
        <v>0.82344587539157676</v>
      </c>
      <c r="F35" s="185">
        <f t="shared" si="4"/>
        <v>0.78453733976854012</v>
      </c>
      <c r="G35" s="187">
        <f t="shared" si="4"/>
        <v>0.78491438203108044</v>
      </c>
      <c r="H35" s="154"/>
      <c r="I35" s="154"/>
      <c r="J35" s="154"/>
      <c r="K35" s="154"/>
      <c r="L35" s="154"/>
      <c r="M35" s="154"/>
      <c r="N35" s="154"/>
      <c r="O35" s="154"/>
      <c r="P35" s="154"/>
      <c r="Q35" s="154"/>
      <c r="R35" s="154"/>
      <c r="S35" s="154"/>
      <c r="T35" s="154"/>
      <c r="U35" s="154"/>
      <c r="V35" s="154"/>
      <c r="W35" s="154"/>
      <c r="X35" s="154"/>
      <c r="Y35" s="154"/>
      <c r="Z35" s="154"/>
    </row>
    <row r="36" spans="1:26" ht="14.25" customHeight="1">
      <c r="A36" s="287" t="s">
        <v>339</v>
      </c>
      <c r="B36" s="277"/>
      <c r="C36" s="277"/>
      <c r="D36" s="277"/>
      <c r="E36" s="277"/>
      <c r="F36" s="277"/>
      <c r="G36" s="288"/>
      <c r="H36" s="154"/>
      <c r="I36" s="154"/>
      <c r="J36" s="154"/>
      <c r="K36" s="154"/>
      <c r="L36" s="154"/>
      <c r="M36" s="154"/>
      <c r="N36" s="154"/>
      <c r="O36" s="154"/>
      <c r="P36" s="154"/>
      <c r="Q36" s="154"/>
      <c r="R36" s="154"/>
      <c r="S36" s="154"/>
      <c r="T36" s="154"/>
      <c r="U36" s="154"/>
      <c r="V36" s="154"/>
      <c r="W36" s="154"/>
      <c r="X36" s="154"/>
      <c r="Y36" s="154"/>
      <c r="Z36" s="154"/>
    </row>
    <row r="37" spans="1:26" ht="14.25" customHeight="1">
      <c r="A37" s="181" t="s">
        <v>342</v>
      </c>
      <c r="B37" s="190"/>
      <c r="C37" s="185">
        <f t="shared" ref="C37:G37" si="5">1.2*C31</f>
        <v>4.9310000587233539E-2</v>
      </c>
      <c r="D37" s="185">
        <f t="shared" si="5"/>
        <v>6.3719402899465136E-2</v>
      </c>
      <c r="E37" s="185">
        <f t="shared" si="5"/>
        <v>7.3879568395405493E-2</v>
      </c>
      <c r="F37" s="185">
        <f t="shared" si="5"/>
        <v>0.12288650163475011</v>
      </c>
      <c r="G37" s="187">
        <f t="shared" si="5"/>
        <v>8.009398184209518E-2</v>
      </c>
      <c r="H37" s="154"/>
      <c r="I37" s="154"/>
      <c r="J37" s="154"/>
      <c r="K37" s="154"/>
      <c r="L37" s="154"/>
      <c r="M37" s="154"/>
      <c r="N37" s="154"/>
      <c r="O37" s="154"/>
      <c r="P37" s="154"/>
      <c r="Q37" s="154"/>
      <c r="R37" s="154"/>
      <c r="S37" s="154"/>
      <c r="T37" s="154"/>
      <c r="U37" s="154"/>
      <c r="V37" s="154"/>
      <c r="W37" s="154"/>
      <c r="X37" s="154"/>
      <c r="Y37" s="154"/>
      <c r="Z37" s="154"/>
    </row>
    <row r="38" spans="1:26" ht="14.25" customHeight="1">
      <c r="A38" s="181" t="s">
        <v>346</v>
      </c>
      <c r="B38" s="190"/>
      <c r="C38" s="185">
        <f t="shared" ref="C38:G38" si="6">1.4*C32</f>
        <v>0.97008925949850244</v>
      </c>
      <c r="D38" s="185">
        <f t="shared" si="6"/>
        <v>0.97416005850552778</v>
      </c>
      <c r="E38" s="185">
        <f t="shared" si="6"/>
        <v>0.97431813435433345</v>
      </c>
      <c r="F38" s="185">
        <f t="shared" si="6"/>
        <v>0.92159946027297723</v>
      </c>
      <c r="G38" s="187">
        <f t="shared" si="6"/>
        <v>0.87450614840447949</v>
      </c>
      <c r="H38" s="154"/>
      <c r="I38" s="154"/>
      <c r="J38" s="154"/>
      <c r="K38" s="154"/>
      <c r="L38" s="154"/>
      <c r="M38" s="154"/>
      <c r="N38" s="154"/>
      <c r="O38" s="154"/>
      <c r="P38" s="154"/>
      <c r="Q38" s="154"/>
      <c r="R38" s="154"/>
      <c r="S38" s="154"/>
      <c r="T38" s="154"/>
      <c r="U38" s="154"/>
      <c r="V38" s="154"/>
      <c r="W38" s="154"/>
      <c r="X38" s="154"/>
      <c r="Y38" s="154"/>
      <c r="Z38" s="154"/>
    </row>
    <row r="39" spans="1:26" ht="14.25" customHeight="1">
      <c r="A39" s="181" t="s">
        <v>347</v>
      </c>
      <c r="B39" s="190"/>
      <c r="C39" s="185">
        <f t="shared" ref="C39:G39" si="7">3.3*C33</f>
        <v>0.51920400493276175</v>
      </c>
      <c r="D39" s="185">
        <f t="shared" si="7"/>
        <v>0.55710598391097987</v>
      </c>
      <c r="E39" s="185">
        <f t="shared" si="7"/>
        <v>0.60376331360946744</v>
      </c>
      <c r="F39" s="185">
        <f t="shared" si="7"/>
        <v>0.58930406352171882</v>
      </c>
      <c r="G39" s="187">
        <f t="shared" si="7"/>
        <v>0.58479945858286619</v>
      </c>
      <c r="H39" s="154"/>
      <c r="I39" s="154"/>
      <c r="J39" s="154"/>
      <c r="K39" s="154"/>
      <c r="L39" s="154"/>
      <c r="M39" s="154"/>
      <c r="N39" s="154"/>
      <c r="O39" s="154"/>
      <c r="P39" s="154"/>
      <c r="Q39" s="154"/>
      <c r="R39" s="154"/>
      <c r="S39" s="154"/>
      <c r="T39" s="154"/>
      <c r="U39" s="154"/>
      <c r="V39" s="154"/>
      <c r="W39" s="154"/>
      <c r="X39" s="154"/>
      <c r="Y39" s="154"/>
      <c r="Z39" s="154"/>
    </row>
    <row r="40" spans="1:26" ht="14.25" customHeight="1">
      <c r="A40" s="181" t="s">
        <v>348</v>
      </c>
      <c r="B40" s="190"/>
      <c r="C40" s="185">
        <f t="shared" ref="C40:G40" si="8">0.6*C34</f>
        <v>1.3760951552074265</v>
      </c>
      <c r="D40" s="185">
        <f t="shared" si="8"/>
        <v>1.3946703532440292</v>
      </c>
      <c r="E40" s="185">
        <f t="shared" si="8"/>
        <v>1.3947694871320127</v>
      </c>
      <c r="F40" s="185">
        <f t="shared" si="8"/>
        <v>1.1716584300655095</v>
      </c>
      <c r="G40" s="187">
        <f t="shared" si="8"/>
        <v>1.0113786008230452</v>
      </c>
      <c r="H40" s="154"/>
      <c r="I40" s="154"/>
      <c r="J40" s="154"/>
      <c r="K40" s="154"/>
      <c r="L40" s="154"/>
      <c r="M40" s="154"/>
      <c r="N40" s="154"/>
      <c r="O40" s="154"/>
      <c r="P40" s="154"/>
      <c r="Q40" s="154"/>
      <c r="R40" s="154"/>
      <c r="S40" s="154"/>
      <c r="T40" s="154"/>
      <c r="U40" s="154"/>
      <c r="V40" s="154"/>
      <c r="W40" s="154"/>
      <c r="X40" s="154"/>
      <c r="Y40" s="154"/>
      <c r="Z40" s="154"/>
    </row>
    <row r="41" spans="1:26" ht="14.25" customHeight="1">
      <c r="A41" s="181" t="s">
        <v>350</v>
      </c>
      <c r="B41" s="190"/>
      <c r="C41" s="185">
        <f t="shared" ref="C41:G41" si="9">1*C35</f>
        <v>0.67525985084268014</v>
      </c>
      <c r="D41" s="185">
        <f t="shared" si="9"/>
        <v>0.73408663980383437</v>
      </c>
      <c r="E41" s="185">
        <f t="shared" si="9"/>
        <v>0.82344587539157676</v>
      </c>
      <c r="F41" s="185">
        <f t="shared" si="9"/>
        <v>0.78453733976854012</v>
      </c>
      <c r="G41" s="187">
        <f t="shared" si="9"/>
        <v>0.78491438203108044</v>
      </c>
      <c r="H41" s="154"/>
      <c r="I41" s="154"/>
      <c r="J41" s="154"/>
      <c r="K41" s="154"/>
      <c r="L41" s="154"/>
      <c r="M41" s="154"/>
      <c r="N41" s="154"/>
      <c r="O41" s="154"/>
      <c r="P41" s="154"/>
      <c r="Q41" s="154"/>
      <c r="R41" s="154"/>
      <c r="S41" s="154"/>
      <c r="T41" s="154"/>
      <c r="U41" s="154"/>
      <c r="V41" s="154"/>
      <c r="W41" s="154"/>
      <c r="X41" s="154"/>
      <c r="Y41" s="154"/>
      <c r="Z41" s="154"/>
    </row>
    <row r="42" spans="1:26" ht="14.25" customHeight="1">
      <c r="A42" s="193"/>
      <c r="B42" s="196"/>
      <c r="C42" s="185"/>
      <c r="D42" s="185"/>
      <c r="E42" s="185"/>
      <c r="F42" s="185"/>
      <c r="G42" s="187"/>
      <c r="H42" s="154"/>
      <c r="I42" s="154"/>
      <c r="J42" s="154"/>
      <c r="K42" s="154"/>
      <c r="L42" s="154"/>
      <c r="M42" s="154"/>
      <c r="N42" s="154"/>
      <c r="O42" s="154"/>
      <c r="P42" s="154"/>
      <c r="Q42" s="154"/>
      <c r="R42" s="154"/>
      <c r="S42" s="154"/>
      <c r="T42" s="154"/>
      <c r="U42" s="154"/>
      <c r="V42" s="154"/>
      <c r="W42" s="154"/>
      <c r="X42" s="154"/>
      <c r="Y42" s="154"/>
      <c r="Z42" s="154"/>
    </row>
    <row r="43" spans="1:26" ht="14.25" customHeight="1">
      <c r="A43" s="197" t="s">
        <v>352</v>
      </c>
      <c r="B43" s="198" t="s">
        <v>353</v>
      </c>
      <c r="C43" s="203">
        <f t="shared" ref="C43:G43" si="10">SUM(C37:C41)</f>
        <v>3.5899582710686042</v>
      </c>
      <c r="D43" s="203">
        <f t="shared" si="10"/>
        <v>3.7237424383638364</v>
      </c>
      <c r="E43" s="203">
        <f t="shared" si="10"/>
        <v>3.8701763788827961</v>
      </c>
      <c r="F43" s="203">
        <f t="shared" si="10"/>
        <v>3.5899857952634959</v>
      </c>
      <c r="G43" s="204">
        <f t="shared" si="10"/>
        <v>3.3356925716835661</v>
      </c>
      <c r="H43" s="154"/>
      <c r="I43" s="154"/>
      <c r="J43" s="154"/>
      <c r="K43" s="154"/>
      <c r="L43" s="154"/>
      <c r="M43" s="154"/>
      <c r="N43" s="154"/>
      <c r="O43" s="154"/>
      <c r="P43" s="154"/>
      <c r="Q43" s="154"/>
      <c r="R43" s="154"/>
      <c r="S43" s="154"/>
      <c r="T43" s="154"/>
      <c r="U43" s="154"/>
      <c r="V43" s="154"/>
      <c r="W43" s="154"/>
      <c r="X43" s="154"/>
      <c r="Y43" s="154"/>
      <c r="Z43" s="154"/>
    </row>
    <row r="44" spans="1:26" ht="14.25" customHeight="1">
      <c r="A44" s="154"/>
      <c r="B44" s="154"/>
      <c r="C44" s="154"/>
      <c r="D44" s="154"/>
      <c r="E44" s="154"/>
      <c r="F44" s="154"/>
      <c r="G44" s="154"/>
      <c r="H44" s="154"/>
      <c r="I44" s="154"/>
      <c r="J44" s="154"/>
      <c r="K44" s="154"/>
      <c r="L44" s="154"/>
      <c r="M44" s="154"/>
      <c r="N44" s="154"/>
      <c r="O44" s="154"/>
      <c r="P44" s="154"/>
      <c r="Q44" s="154"/>
      <c r="R44" s="154"/>
      <c r="S44" s="154"/>
      <c r="T44" s="154"/>
      <c r="U44" s="154"/>
      <c r="V44" s="154"/>
      <c r="W44" s="154"/>
      <c r="X44" s="154"/>
      <c r="Y44" s="154"/>
      <c r="Z44" s="154"/>
    </row>
    <row r="45" spans="1:26" ht="14.25" customHeight="1">
      <c r="A45" s="154"/>
      <c r="B45" s="154"/>
      <c r="C45" s="154"/>
      <c r="D45" s="154"/>
      <c r="E45" s="154"/>
      <c r="F45" s="154"/>
      <c r="G45" s="154"/>
      <c r="H45" s="154"/>
      <c r="I45" s="154"/>
      <c r="J45" s="154"/>
      <c r="K45" s="154"/>
      <c r="L45" s="154"/>
      <c r="M45" s="154"/>
      <c r="N45" s="154"/>
      <c r="O45" s="154"/>
      <c r="P45" s="154"/>
      <c r="Q45" s="154"/>
      <c r="R45" s="154"/>
      <c r="S45" s="154"/>
      <c r="T45" s="154"/>
      <c r="U45" s="154"/>
      <c r="V45" s="154"/>
      <c r="W45" s="154"/>
      <c r="X45" s="154"/>
      <c r="Y45" s="154"/>
      <c r="Z45" s="154"/>
    </row>
    <row r="46" spans="1:26" ht="14.25" customHeight="1">
      <c r="A46" s="154"/>
      <c r="B46" s="154"/>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row>
    <row r="47" spans="1:26" ht="14.25" customHeight="1">
      <c r="A47" s="289" t="s">
        <v>285</v>
      </c>
      <c r="B47" s="277"/>
      <c r="C47" s="277"/>
      <c r="D47" s="278"/>
      <c r="E47" s="212"/>
      <c r="F47" s="212"/>
      <c r="G47" s="212"/>
      <c r="H47" s="212"/>
      <c r="I47" s="154"/>
      <c r="J47" s="154"/>
      <c r="K47" s="154"/>
      <c r="L47" s="154"/>
      <c r="M47" s="154"/>
      <c r="N47" s="154"/>
      <c r="O47" s="154"/>
      <c r="P47" s="154"/>
      <c r="Q47" s="154"/>
      <c r="R47" s="154"/>
      <c r="S47" s="154"/>
      <c r="T47" s="154"/>
      <c r="U47" s="154"/>
      <c r="V47" s="154"/>
      <c r="W47" s="154"/>
      <c r="X47" s="154"/>
      <c r="Y47" s="154"/>
      <c r="Z47" s="154"/>
    </row>
    <row r="48" spans="1:26" ht="86.25" customHeight="1">
      <c r="A48" s="290" t="s">
        <v>390</v>
      </c>
      <c r="B48" s="274"/>
      <c r="C48" s="274"/>
      <c r="D48" s="275"/>
      <c r="E48" s="157"/>
      <c r="F48" s="157"/>
      <c r="G48" s="154"/>
      <c r="H48" s="154"/>
      <c r="I48" s="154"/>
      <c r="J48" s="154"/>
      <c r="K48" s="154"/>
      <c r="L48" s="154"/>
      <c r="M48" s="154"/>
      <c r="N48" s="154"/>
      <c r="O48" s="154"/>
      <c r="P48" s="154"/>
      <c r="Q48" s="154"/>
      <c r="R48" s="154"/>
      <c r="S48" s="154"/>
      <c r="T48" s="154"/>
      <c r="U48" s="154"/>
      <c r="V48" s="154"/>
      <c r="W48" s="154"/>
      <c r="X48" s="154"/>
      <c r="Y48" s="154"/>
      <c r="Z48" s="154"/>
    </row>
    <row r="49" spans="1:26" ht="42" customHeight="1">
      <c r="A49" s="282" t="s">
        <v>396</v>
      </c>
      <c r="B49" s="245"/>
      <c r="C49" s="245"/>
      <c r="D49" s="272"/>
      <c r="E49" s="157"/>
      <c r="F49" s="157"/>
      <c r="G49" s="154"/>
      <c r="H49" s="154"/>
      <c r="I49" s="154"/>
      <c r="J49" s="154"/>
      <c r="K49" s="154"/>
      <c r="L49" s="154"/>
      <c r="M49" s="154"/>
      <c r="N49" s="154"/>
      <c r="O49" s="154"/>
      <c r="P49" s="154"/>
      <c r="Q49" s="154"/>
      <c r="R49" s="154"/>
      <c r="S49" s="154"/>
      <c r="T49" s="154"/>
      <c r="U49" s="154"/>
      <c r="V49" s="154"/>
      <c r="W49" s="154"/>
      <c r="X49" s="154"/>
      <c r="Y49" s="154"/>
      <c r="Z49" s="154"/>
    </row>
    <row r="50" spans="1:26" ht="54" customHeight="1">
      <c r="A50" s="273"/>
      <c r="B50" s="274"/>
      <c r="C50" s="274"/>
      <c r="D50" s="275"/>
      <c r="E50" s="157"/>
      <c r="F50" s="157"/>
      <c r="G50" s="154"/>
      <c r="H50" s="154"/>
      <c r="I50" s="154"/>
      <c r="J50" s="154"/>
      <c r="K50" s="154"/>
      <c r="L50" s="154"/>
      <c r="M50" s="154"/>
      <c r="N50" s="154"/>
      <c r="O50" s="154"/>
      <c r="P50" s="154"/>
      <c r="Q50" s="154"/>
      <c r="R50" s="154"/>
      <c r="S50" s="154"/>
      <c r="T50" s="154"/>
      <c r="U50" s="154"/>
      <c r="V50" s="154"/>
      <c r="W50" s="154"/>
      <c r="X50" s="154"/>
      <c r="Y50" s="154"/>
      <c r="Z50" s="154"/>
    </row>
    <row r="51" spans="1:26" ht="50.25" customHeight="1">
      <c r="A51" s="282" t="s">
        <v>405</v>
      </c>
      <c r="B51" s="245"/>
      <c r="C51" s="245"/>
      <c r="D51" s="272"/>
      <c r="E51" s="157"/>
      <c r="F51" s="157"/>
      <c r="G51" s="154"/>
      <c r="H51" s="154"/>
      <c r="I51" s="154"/>
      <c r="J51" s="154"/>
      <c r="K51" s="154"/>
      <c r="L51" s="154"/>
      <c r="M51" s="154"/>
      <c r="N51" s="154"/>
      <c r="O51" s="154"/>
      <c r="P51" s="154"/>
      <c r="Q51" s="154"/>
      <c r="R51" s="154"/>
      <c r="S51" s="154"/>
      <c r="T51" s="154"/>
      <c r="U51" s="154"/>
      <c r="V51" s="154"/>
      <c r="W51" s="154"/>
      <c r="X51" s="154"/>
      <c r="Y51" s="154"/>
      <c r="Z51" s="154"/>
    </row>
    <row r="52" spans="1:26" ht="33" customHeight="1">
      <c r="A52" s="273"/>
      <c r="B52" s="274"/>
      <c r="C52" s="274"/>
      <c r="D52" s="275"/>
      <c r="E52" s="157"/>
      <c r="F52" s="157"/>
      <c r="G52" s="154"/>
      <c r="H52" s="154"/>
      <c r="I52" s="154"/>
      <c r="J52" s="154"/>
      <c r="K52" s="154"/>
      <c r="L52" s="154"/>
      <c r="M52" s="154"/>
      <c r="N52" s="154"/>
      <c r="O52" s="154"/>
      <c r="P52" s="154"/>
      <c r="Q52" s="154"/>
      <c r="R52" s="154"/>
      <c r="S52" s="154"/>
      <c r="T52" s="154"/>
      <c r="U52" s="154"/>
      <c r="V52" s="154"/>
      <c r="W52" s="154"/>
      <c r="X52" s="154"/>
      <c r="Y52" s="154"/>
      <c r="Z52" s="154"/>
    </row>
    <row r="53" spans="1:26" ht="45.75" customHeight="1">
      <c r="A53" s="282" t="s">
        <v>413</v>
      </c>
      <c r="B53" s="245"/>
      <c r="C53" s="245"/>
      <c r="D53" s="272"/>
      <c r="E53" s="157"/>
      <c r="F53" s="157"/>
      <c r="G53" s="154"/>
      <c r="H53" s="154"/>
      <c r="I53" s="154"/>
      <c r="J53" s="154"/>
      <c r="K53" s="154"/>
      <c r="L53" s="154"/>
      <c r="M53" s="154"/>
      <c r="N53" s="154"/>
      <c r="O53" s="154"/>
      <c r="P53" s="154"/>
      <c r="Q53" s="154"/>
      <c r="R53" s="154"/>
      <c r="S53" s="154"/>
      <c r="T53" s="154"/>
      <c r="U53" s="154"/>
      <c r="V53" s="154"/>
      <c r="W53" s="154"/>
      <c r="X53" s="154"/>
      <c r="Y53" s="154"/>
      <c r="Z53" s="154"/>
    </row>
    <row r="54" spans="1:26" ht="14.25" customHeight="1">
      <c r="A54" s="273"/>
      <c r="B54" s="274"/>
      <c r="C54" s="274"/>
      <c r="D54" s="275"/>
      <c r="E54" s="157"/>
      <c r="F54" s="157"/>
      <c r="G54" s="154"/>
      <c r="H54" s="154"/>
      <c r="I54" s="154"/>
      <c r="J54" s="154"/>
      <c r="K54" s="154"/>
      <c r="L54" s="154"/>
      <c r="M54" s="154"/>
      <c r="N54" s="154"/>
      <c r="O54" s="154"/>
      <c r="P54" s="154"/>
      <c r="Q54" s="154"/>
      <c r="R54" s="154"/>
      <c r="S54" s="154"/>
      <c r="T54" s="154"/>
      <c r="U54" s="154"/>
      <c r="V54" s="154"/>
      <c r="W54" s="154"/>
      <c r="X54" s="154"/>
      <c r="Y54" s="154"/>
      <c r="Z54" s="154"/>
    </row>
    <row r="55" spans="1:26" ht="46.5" customHeight="1">
      <c r="A55" s="282" t="s">
        <v>419</v>
      </c>
      <c r="B55" s="245"/>
      <c r="C55" s="245"/>
      <c r="D55" s="272"/>
      <c r="E55" s="157"/>
      <c r="F55" s="157"/>
      <c r="G55" s="154"/>
      <c r="H55" s="154"/>
      <c r="I55" s="154"/>
      <c r="J55" s="154"/>
      <c r="K55" s="154"/>
      <c r="L55" s="154"/>
      <c r="M55" s="154"/>
      <c r="N55" s="154"/>
      <c r="O55" s="154"/>
      <c r="P55" s="154"/>
      <c r="Q55" s="154"/>
      <c r="R55" s="154"/>
      <c r="S55" s="154"/>
      <c r="T55" s="154"/>
      <c r="U55" s="154"/>
      <c r="V55" s="154"/>
      <c r="W55" s="154"/>
      <c r="X55" s="154"/>
      <c r="Y55" s="154"/>
      <c r="Z55" s="154"/>
    </row>
    <row r="56" spans="1:26" ht="14.25" customHeight="1">
      <c r="A56" s="273"/>
      <c r="B56" s="274"/>
      <c r="C56" s="274"/>
      <c r="D56" s="275"/>
      <c r="E56" s="157"/>
      <c r="F56" s="157"/>
      <c r="G56" s="154"/>
      <c r="H56" s="154"/>
      <c r="I56" s="154"/>
      <c r="J56" s="154"/>
      <c r="K56" s="154"/>
      <c r="L56" s="154"/>
      <c r="M56" s="154"/>
      <c r="N56" s="154"/>
      <c r="O56" s="154"/>
      <c r="P56" s="154"/>
      <c r="Q56" s="154"/>
      <c r="R56" s="154"/>
      <c r="S56" s="154"/>
      <c r="T56" s="154"/>
      <c r="U56" s="154"/>
      <c r="V56" s="154"/>
      <c r="W56" s="154"/>
      <c r="X56" s="154"/>
      <c r="Y56" s="154"/>
      <c r="Z56" s="154"/>
    </row>
    <row r="57" spans="1:26" ht="35.25" customHeight="1">
      <c r="A57" s="282" t="s">
        <v>427</v>
      </c>
      <c r="B57" s="245"/>
      <c r="C57" s="245"/>
      <c r="D57" s="272"/>
      <c r="E57" s="157"/>
      <c r="F57" s="157"/>
      <c r="G57" s="154"/>
      <c r="H57" s="154"/>
      <c r="I57" s="154"/>
      <c r="J57" s="154"/>
      <c r="K57" s="154"/>
      <c r="L57" s="154"/>
      <c r="M57" s="154"/>
      <c r="N57" s="154"/>
      <c r="O57" s="154"/>
      <c r="P57" s="154"/>
      <c r="Q57" s="154"/>
      <c r="R57" s="154"/>
      <c r="S57" s="154"/>
      <c r="T57" s="154"/>
      <c r="U57" s="154"/>
      <c r="V57" s="154"/>
      <c r="W57" s="154"/>
      <c r="X57" s="154"/>
      <c r="Y57" s="154"/>
      <c r="Z57" s="154"/>
    </row>
    <row r="58" spans="1:26" ht="14.25" customHeight="1">
      <c r="A58" s="273"/>
      <c r="B58" s="274"/>
      <c r="C58" s="274"/>
      <c r="D58" s="275"/>
      <c r="E58" s="157"/>
      <c r="F58" s="157"/>
      <c r="G58" s="154"/>
      <c r="H58" s="154"/>
      <c r="I58" s="154"/>
      <c r="J58" s="154"/>
      <c r="K58" s="154"/>
      <c r="L58" s="154"/>
      <c r="M58" s="154"/>
      <c r="N58" s="154"/>
      <c r="O58" s="154"/>
      <c r="P58" s="154"/>
      <c r="Q58" s="154"/>
      <c r="R58" s="154"/>
      <c r="S58" s="154"/>
      <c r="T58" s="154"/>
      <c r="U58" s="154"/>
      <c r="V58" s="154"/>
      <c r="W58" s="154"/>
      <c r="X58" s="154"/>
      <c r="Y58" s="154"/>
      <c r="Z58" s="154"/>
    </row>
    <row r="59" spans="1:26" ht="14.25" customHeight="1">
      <c r="A59" s="283" t="s">
        <v>433</v>
      </c>
      <c r="B59" s="245"/>
      <c r="C59" s="245"/>
      <c r="D59" s="272"/>
      <c r="E59" s="157"/>
      <c r="F59" s="157"/>
      <c r="G59" s="154"/>
      <c r="H59" s="154"/>
      <c r="I59" s="154"/>
      <c r="J59" s="154"/>
      <c r="K59" s="154"/>
      <c r="L59" s="154"/>
      <c r="M59" s="154"/>
      <c r="N59" s="154"/>
      <c r="O59" s="154"/>
      <c r="P59" s="154"/>
      <c r="Q59" s="154"/>
      <c r="R59" s="154"/>
      <c r="S59" s="154"/>
      <c r="T59" s="154"/>
      <c r="U59" s="154"/>
      <c r="V59" s="154"/>
      <c r="W59" s="154"/>
      <c r="X59" s="154"/>
      <c r="Y59" s="154"/>
      <c r="Z59" s="154"/>
    </row>
    <row r="60" spans="1:26" ht="14.25" customHeight="1">
      <c r="A60" s="274"/>
      <c r="B60" s="274"/>
      <c r="C60" s="274"/>
      <c r="D60" s="275"/>
      <c r="E60" s="157"/>
      <c r="F60" s="157"/>
      <c r="G60" s="154"/>
      <c r="H60" s="154"/>
      <c r="I60" s="154"/>
      <c r="J60" s="154"/>
      <c r="K60" s="154"/>
      <c r="L60" s="154"/>
      <c r="M60" s="154"/>
      <c r="N60" s="154"/>
      <c r="O60" s="154"/>
      <c r="P60" s="154"/>
      <c r="Q60" s="154"/>
      <c r="R60" s="154"/>
      <c r="S60" s="154"/>
      <c r="T60" s="154"/>
      <c r="U60" s="154"/>
      <c r="V60" s="154"/>
      <c r="W60" s="154"/>
      <c r="X60" s="154"/>
      <c r="Y60" s="154"/>
      <c r="Z60" s="154"/>
    </row>
    <row r="61" spans="1:26" ht="14.25" customHeight="1">
      <c r="A61" s="157"/>
      <c r="B61" s="157"/>
      <c r="C61" s="157"/>
      <c r="D61" s="157"/>
      <c r="E61" s="157"/>
      <c r="F61" s="157"/>
      <c r="G61" s="154"/>
      <c r="H61" s="154"/>
      <c r="I61" s="154"/>
      <c r="J61" s="154"/>
      <c r="K61" s="154"/>
      <c r="L61" s="154"/>
      <c r="M61" s="154"/>
      <c r="N61" s="154"/>
      <c r="O61" s="154"/>
      <c r="P61" s="154"/>
      <c r="Q61" s="154"/>
      <c r="R61" s="154"/>
      <c r="S61" s="154"/>
      <c r="T61" s="154"/>
      <c r="U61" s="154"/>
      <c r="V61" s="154"/>
      <c r="W61" s="154"/>
      <c r="X61" s="154"/>
      <c r="Y61" s="154"/>
      <c r="Z61" s="154"/>
    </row>
    <row r="62" spans="1:26" ht="14.25" customHeight="1">
      <c r="A62" s="157"/>
      <c r="B62" s="157"/>
      <c r="C62" s="157"/>
      <c r="D62" s="157"/>
      <c r="E62" s="157"/>
      <c r="F62" s="157"/>
      <c r="G62" s="154"/>
      <c r="H62" s="154"/>
      <c r="I62" s="154"/>
      <c r="J62" s="154"/>
      <c r="K62" s="154"/>
      <c r="L62" s="154"/>
      <c r="M62" s="154"/>
      <c r="N62" s="154"/>
      <c r="O62" s="154"/>
      <c r="P62" s="154"/>
      <c r="Q62" s="154"/>
      <c r="R62" s="154"/>
      <c r="S62" s="154"/>
      <c r="T62" s="154"/>
      <c r="U62" s="154"/>
      <c r="V62" s="154"/>
      <c r="W62" s="154"/>
      <c r="X62" s="154"/>
      <c r="Y62" s="154"/>
      <c r="Z62" s="154"/>
    </row>
    <row r="63" spans="1:26" ht="14.25" customHeight="1">
      <c r="A63" s="157"/>
      <c r="B63" s="157"/>
      <c r="C63" s="157"/>
      <c r="D63" s="157"/>
      <c r="E63" s="157"/>
      <c r="F63" s="157"/>
      <c r="G63" s="154"/>
      <c r="H63" s="154"/>
      <c r="I63" s="154"/>
      <c r="J63" s="154"/>
      <c r="K63" s="154"/>
      <c r="L63" s="154"/>
      <c r="M63" s="154"/>
      <c r="N63" s="154"/>
      <c r="O63" s="154"/>
      <c r="P63" s="154"/>
      <c r="Q63" s="154"/>
      <c r="R63" s="154"/>
      <c r="S63" s="154"/>
      <c r="T63" s="154"/>
      <c r="U63" s="154"/>
      <c r="V63" s="154"/>
      <c r="W63" s="154"/>
      <c r="X63" s="154"/>
      <c r="Y63" s="154"/>
      <c r="Z63" s="154"/>
    </row>
    <row r="64" spans="1:26" ht="14.25" customHeight="1">
      <c r="A64" s="154"/>
      <c r="B64" s="154"/>
      <c r="C64" s="154"/>
      <c r="D64" s="154"/>
      <c r="E64" s="154"/>
      <c r="F64" s="154"/>
      <c r="G64" s="154"/>
      <c r="H64" s="154"/>
      <c r="I64" s="154"/>
      <c r="J64" s="154"/>
      <c r="K64" s="154"/>
      <c r="L64" s="154"/>
      <c r="M64" s="154"/>
      <c r="N64" s="154"/>
      <c r="O64" s="154"/>
      <c r="P64" s="154"/>
      <c r="Q64" s="154"/>
      <c r="R64" s="154"/>
      <c r="S64" s="154"/>
      <c r="T64" s="154"/>
      <c r="U64" s="154"/>
      <c r="V64" s="154"/>
      <c r="W64" s="154"/>
      <c r="X64" s="154"/>
      <c r="Y64" s="154"/>
      <c r="Z64" s="154"/>
    </row>
    <row r="65" spans="1:26" ht="14.25" customHeight="1">
      <c r="A65" s="154"/>
      <c r="B65" s="154"/>
      <c r="C65" s="154"/>
      <c r="D65" s="154"/>
      <c r="E65" s="154"/>
      <c r="F65" s="154"/>
      <c r="G65" s="154"/>
      <c r="H65" s="154"/>
      <c r="I65" s="154"/>
      <c r="J65" s="154"/>
      <c r="K65" s="154"/>
      <c r="L65" s="154"/>
      <c r="M65" s="154"/>
      <c r="N65" s="154"/>
      <c r="O65" s="154"/>
      <c r="P65" s="154"/>
      <c r="Q65" s="154"/>
      <c r="R65" s="154"/>
      <c r="S65" s="154"/>
      <c r="T65" s="154"/>
      <c r="U65" s="154"/>
      <c r="V65" s="154"/>
      <c r="W65" s="154"/>
      <c r="X65" s="154"/>
      <c r="Y65" s="154"/>
      <c r="Z65" s="154"/>
    </row>
    <row r="66" spans="1:26" ht="14.25" customHeight="1">
      <c r="A66" s="154"/>
      <c r="B66" s="154"/>
      <c r="C66" s="154"/>
      <c r="D66" s="154"/>
      <c r="E66" s="154"/>
      <c r="F66" s="154"/>
      <c r="G66" s="154"/>
      <c r="H66" s="154"/>
      <c r="I66" s="154"/>
      <c r="J66" s="154"/>
      <c r="K66" s="154"/>
      <c r="L66" s="154"/>
      <c r="M66" s="154"/>
      <c r="N66" s="154"/>
      <c r="O66" s="154"/>
      <c r="P66" s="154"/>
      <c r="Q66" s="154"/>
      <c r="R66" s="154"/>
      <c r="S66" s="154"/>
      <c r="T66" s="154"/>
      <c r="U66" s="154"/>
      <c r="V66" s="154"/>
      <c r="W66" s="154"/>
      <c r="X66" s="154"/>
      <c r="Y66" s="154"/>
      <c r="Z66" s="154"/>
    </row>
    <row r="67" spans="1:26" ht="14.25" customHeight="1">
      <c r="A67" s="154"/>
      <c r="B67" s="154"/>
      <c r="C67" s="154"/>
      <c r="D67" s="154"/>
      <c r="E67" s="154"/>
      <c r="F67" s="154"/>
      <c r="G67" s="154"/>
      <c r="H67" s="154"/>
      <c r="I67" s="154"/>
      <c r="J67" s="154"/>
      <c r="K67" s="154"/>
      <c r="L67" s="154"/>
      <c r="M67" s="154"/>
      <c r="N67" s="154"/>
      <c r="O67" s="154"/>
      <c r="P67" s="154"/>
      <c r="Q67" s="154"/>
      <c r="R67" s="154"/>
      <c r="S67" s="154"/>
      <c r="T67" s="154"/>
      <c r="U67" s="154"/>
      <c r="V67" s="154"/>
      <c r="W67" s="154"/>
      <c r="X67" s="154"/>
      <c r="Y67" s="154"/>
      <c r="Z67" s="154"/>
    </row>
    <row r="68" spans="1:26" ht="14.25" customHeight="1">
      <c r="A68" s="154"/>
      <c r="B68" s="154"/>
      <c r="C68" s="154"/>
      <c r="D68" s="154"/>
      <c r="E68" s="154"/>
      <c r="F68" s="154"/>
      <c r="G68" s="154"/>
      <c r="H68" s="154"/>
      <c r="I68" s="154"/>
      <c r="J68" s="154"/>
      <c r="K68" s="154"/>
      <c r="L68" s="154"/>
      <c r="M68" s="154"/>
      <c r="N68" s="154"/>
      <c r="O68" s="154"/>
      <c r="P68" s="154"/>
      <c r="Q68" s="154"/>
      <c r="R68" s="154"/>
      <c r="S68" s="154"/>
      <c r="T68" s="154"/>
      <c r="U68" s="154"/>
      <c r="V68" s="154"/>
      <c r="W68" s="154"/>
      <c r="X68" s="154"/>
      <c r="Y68" s="154"/>
      <c r="Z68" s="154"/>
    </row>
    <row r="69" spans="1:26" ht="14.25" customHeight="1">
      <c r="A69" s="154"/>
      <c r="B69" s="154"/>
      <c r="C69" s="154"/>
      <c r="D69" s="154"/>
      <c r="E69" s="154"/>
      <c r="F69" s="154"/>
      <c r="G69" s="154"/>
      <c r="H69" s="154"/>
      <c r="I69" s="154"/>
      <c r="J69" s="154"/>
      <c r="K69" s="154"/>
      <c r="L69" s="154"/>
      <c r="M69" s="154"/>
      <c r="N69" s="154"/>
      <c r="O69" s="154"/>
      <c r="P69" s="154"/>
      <c r="Q69" s="154"/>
      <c r="R69" s="154"/>
      <c r="S69" s="154"/>
      <c r="T69" s="154"/>
      <c r="U69" s="154"/>
      <c r="V69" s="154"/>
      <c r="W69" s="154"/>
      <c r="X69" s="154"/>
      <c r="Y69" s="154"/>
      <c r="Z69" s="154"/>
    </row>
    <row r="70" spans="1:26" ht="14.25" customHeight="1">
      <c r="A70" s="154"/>
      <c r="B70" s="154"/>
      <c r="C70" s="154"/>
      <c r="D70" s="154"/>
      <c r="E70" s="154"/>
      <c r="F70" s="154"/>
      <c r="G70" s="154"/>
      <c r="H70" s="154"/>
      <c r="I70" s="154"/>
      <c r="J70" s="154"/>
      <c r="K70" s="154"/>
      <c r="L70" s="154"/>
      <c r="M70" s="154"/>
      <c r="N70" s="154"/>
      <c r="O70" s="154"/>
      <c r="P70" s="154"/>
      <c r="Q70" s="154"/>
      <c r="R70" s="154"/>
      <c r="S70" s="154"/>
      <c r="T70" s="154"/>
      <c r="U70" s="154"/>
      <c r="V70" s="154"/>
      <c r="W70" s="154"/>
      <c r="X70" s="154"/>
      <c r="Y70" s="154"/>
      <c r="Z70" s="154"/>
    </row>
    <row r="71" spans="1:26" ht="14.25" customHeight="1">
      <c r="A71" s="154"/>
      <c r="B71" s="154"/>
      <c r="C71" s="154"/>
      <c r="D71" s="154"/>
      <c r="E71" s="154"/>
      <c r="F71" s="154"/>
      <c r="G71" s="154"/>
      <c r="H71" s="154"/>
      <c r="I71" s="154"/>
      <c r="J71" s="154"/>
      <c r="K71" s="154"/>
      <c r="L71" s="154"/>
      <c r="M71" s="154"/>
      <c r="N71" s="154"/>
      <c r="O71" s="154"/>
      <c r="P71" s="154"/>
      <c r="Q71" s="154"/>
      <c r="R71" s="154"/>
      <c r="S71" s="154"/>
      <c r="T71" s="154"/>
      <c r="U71" s="154"/>
      <c r="V71" s="154"/>
      <c r="W71" s="154"/>
      <c r="X71" s="154"/>
      <c r="Y71" s="154"/>
      <c r="Z71" s="154"/>
    </row>
    <row r="72" spans="1:26" ht="14.25" customHeight="1">
      <c r="A72" s="154"/>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row>
    <row r="73" spans="1:26" ht="14.25" customHeight="1">
      <c r="A73" s="154"/>
      <c r="B73" s="154"/>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row>
    <row r="74" spans="1:26" ht="14.25" customHeight="1">
      <c r="A74" s="154"/>
      <c r="B74" s="154"/>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row>
    <row r="75" spans="1:26" ht="14.25" customHeight="1">
      <c r="A75" s="154"/>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row>
    <row r="76" spans="1:26" ht="14.25" customHeight="1">
      <c r="A76" s="154"/>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row>
    <row r="77" spans="1:26" ht="14.25" customHeight="1">
      <c r="A77" s="154"/>
      <c r="B77" s="154"/>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row>
    <row r="78" spans="1:26" ht="14.25" customHeight="1">
      <c r="A78" s="154"/>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row>
    <row r="79" spans="1:26" ht="14.25" customHeight="1">
      <c r="A79" s="154"/>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row>
    <row r="80" spans="1:26" ht="14.25" customHeight="1">
      <c r="A80" s="154"/>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row>
    <row r="81" spans="1:26" ht="14.25" customHeight="1">
      <c r="A81" s="154"/>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row>
    <row r="82" spans="1:26" ht="14.25" customHeight="1">
      <c r="A82" s="154"/>
      <c r="B82" s="154"/>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row>
    <row r="83" spans="1:26" ht="14.25" customHeight="1">
      <c r="A83" s="154"/>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row>
    <row r="84" spans="1:26" ht="14.25" customHeight="1">
      <c r="A84" s="154"/>
      <c r="B84" s="154"/>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row>
    <row r="85" spans="1:26" ht="14.25" customHeight="1">
      <c r="A85" s="154"/>
      <c r="B85" s="154"/>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row>
    <row r="86" spans="1:26" ht="14.25" customHeight="1">
      <c r="A86" s="154"/>
      <c r="B86" s="154"/>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row>
    <row r="87" spans="1:26" ht="14.25" customHeight="1">
      <c r="A87" s="154"/>
      <c r="B87" s="154"/>
      <c r="C87" s="154"/>
      <c r="D87" s="154"/>
      <c r="E87" s="154"/>
      <c r="F87" s="154"/>
      <c r="G87" s="154"/>
      <c r="H87" s="154"/>
      <c r="I87" s="154"/>
      <c r="J87" s="154"/>
      <c r="K87" s="154"/>
      <c r="L87" s="154"/>
      <c r="M87" s="154"/>
      <c r="N87" s="154"/>
      <c r="O87" s="154"/>
      <c r="P87" s="154"/>
      <c r="Q87" s="154"/>
      <c r="R87" s="154"/>
      <c r="S87" s="154"/>
      <c r="T87" s="154"/>
      <c r="U87" s="154"/>
      <c r="V87" s="154"/>
      <c r="W87" s="154"/>
      <c r="X87" s="154"/>
      <c r="Y87" s="154"/>
      <c r="Z87" s="154"/>
    </row>
    <row r="88" spans="1:26" ht="14.25" customHeight="1">
      <c r="A88" s="154"/>
      <c r="B88" s="154"/>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row>
    <row r="89" spans="1:26" ht="14.25" customHeight="1">
      <c r="A89" s="154"/>
      <c r="B89" s="154"/>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row>
    <row r="90" spans="1:26" ht="14.25" customHeight="1">
      <c r="A90" s="154"/>
      <c r="B90" s="154"/>
      <c r="C90" s="154"/>
      <c r="D90" s="154"/>
      <c r="E90" s="154"/>
      <c r="F90" s="154"/>
      <c r="G90" s="154"/>
      <c r="H90" s="154"/>
      <c r="I90" s="154"/>
      <c r="J90" s="154"/>
      <c r="K90" s="154"/>
      <c r="L90" s="154"/>
      <c r="M90" s="154"/>
      <c r="N90" s="154"/>
      <c r="O90" s="154"/>
      <c r="P90" s="154"/>
      <c r="Q90" s="154"/>
      <c r="R90" s="154"/>
      <c r="S90" s="154"/>
      <c r="T90" s="154"/>
      <c r="U90" s="154"/>
      <c r="V90" s="154"/>
      <c r="W90" s="154"/>
      <c r="X90" s="154"/>
      <c r="Y90" s="154"/>
      <c r="Z90" s="154"/>
    </row>
    <row r="91" spans="1:26" ht="14.25" customHeight="1">
      <c r="A91" s="154"/>
      <c r="B91" s="154"/>
      <c r="C91" s="154"/>
      <c r="D91" s="154"/>
      <c r="E91" s="154"/>
      <c r="F91" s="154"/>
      <c r="G91" s="154"/>
      <c r="H91" s="154"/>
      <c r="I91" s="154"/>
      <c r="J91" s="154"/>
      <c r="K91" s="154"/>
      <c r="L91" s="154"/>
      <c r="M91" s="154"/>
      <c r="N91" s="154"/>
      <c r="O91" s="154"/>
      <c r="P91" s="154"/>
      <c r="Q91" s="154"/>
      <c r="R91" s="154"/>
      <c r="S91" s="154"/>
      <c r="T91" s="154"/>
      <c r="U91" s="154"/>
      <c r="V91" s="154"/>
      <c r="W91" s="154"/>
      <c r="X91" s="154"/>
      <c r="Y91" s="154"/>
      <c r="Z91" s="154"/>
    </row>
    <row r="92" spans="1:26" ht="14.25" customHeight="1">
      <c r="A92" s="154"/>
      <c r="B92" s="154"/>
      <c r="C92" s="154"/>
      <c r="D92" s="154"/>
      <c r="E92" s="154"/>
      <c r="F92" s="154"/>
      <c r="G92" s="154"/>
      <c r="H92" s="154"/>
      <c r="I92" s="154"/>
      <c r="J92" s="154"/>
      <c r="K92" s="154"/>
      <c r="L92" s="154"/>
      <c r="M92" s="154"/>
      <c r="N92" s="154"/>
      <c r="O92" s="154"/>
      <c r="P92" s="154"/>
      <c r="Q92" s="154"/>
      <c r="R92" s="154"/>
      <c r="S92" s="154"/>
      <c r="T92" s="154"/>
      <c r="U92" s="154"/>
      <c r="V92" s="154"/>
      <c r="W92" s="154"/>
      <c r="X92" s="154"/>
      <c r="Y92" s="154"/>
      <c r="Z92" s="154"/>
    </row>
    <row r="93" spans="1:26" ht="14.25" customHeight="1">
      <c r="A93" s="154"/>
      <c r="B93" s="154"/>
      <c r="C93" s="154"/>
      <c r="D93" s="154"/>
      <c r="E93" s="154"/>
      <c r="F93" s="154"/>
      <c r="G93" s="154"/>
      <c r="H93" s="154"/>
      <c r="I93" s="154"/>
      <c r="J93" s="154"/>
      <c r="K93" s="154"/>
      <c r="L93" s="154"/>
      <c r="M93" s="154"/>
      <c r="N93" s="154"/>
      <c r="O93" s="154"/>
      <c r="P93" s="154"/>
      <c r="Q93" s="154"/>
      <c r="R93" s="154"/>
      <c r="S93" s="154"/>
      <c r="T93" s="154"/>
      <c r="U93" s="154"/>
      <c r="V93" s="154"/>
      <c r="W93" s="154"/>
      <c r="X93" s="154"/>
      <c r="Y93" s="154"/>
      <c r="Z93" s="154"/>
    </row>
    <row r="94" spans="1:26" ht="14.25" customHeight="1">
      <c r="A94" s="154"/>
      <c r="B94" s="154"/>
      <c r="C94" s="154"/>
      <c r="D94" s="154"/>
      <c r="E94" s="154"/>
      <c r="F94" s="154"/>
      <c r="G94" s="154"/>
      <c r="H94" s="154"/>
      <c r="I94" s="154"/>
      <c r="J94" s="154"/>
      <c r="K94" s="154"/>
      <c r="L94" s="154"/>
      <c r="M94" s="154"/>
      <c r="N94" s="154"/>
      <c r="O94" s="154"/>
      <c r="P94" s="154"/>
      <c r="Q94" s="154"/>
      <c r="R94" s="154"/>
      <c r="S94" s="154"/>
      <c r="T94" s="154"/>
      <c r="U94" s="154"/>
      <c r="V94" s="154"/>
      <c r="W94" s="154"/>
      <c r="X94" s="154"/>
      <c r="Y94" s="154"/>
      <c r="Z94" s="154"/>
    </row>
    <row r="95" spans="1:26" ht="14.25" customHeight="1">
      <c r="A95" s="154"/>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row>
    <row r="96" spans="1:26" ht="14.25" customHeight="1">
      <c r="A96" s="154"/>
      <c r="B96" s="154"/>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row>
    <row r="97" spans="1:26" ht="14.25" customHeight="1">
      <c r="A97" s="154"/>
      <c r="B97" s="154"/>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row>
    <row r="98" spans="1:26" ht="14.25" customHeight="1">
      <c r="A98" s="154"/>
      <c r="B98" s="154"/>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4"/>
    </row>
    <row r="99" spans="1:26" ht="14.25" customHeight="1">
      <c r="A99" s="154"/>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row>
    <row r="100" spans="1:26" ht="14.25" customHeight="1">
      <c r="A100" s="154"/>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row>
    <row r="101" spans="1:26" ht="14.25" customHeight="1">
      <c r="A101" s="154"/>
      <c r="B101" s="154"/>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row>
    <row r="102" spans="1:26" ht="14.25" customHeight="1">
      <c r="A102" s="154"/>
      <c r="B102" s="154"/>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row>
    <row r="103" spans="1:26" ht="14.25" customHeight="1">
      <c r="A103" s="154"/>
      <c r="B103" s="154"/>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row>
    <row r="104" spans="1:26" ht="14.25" customHeight="1">
      <c r="A104" s="154"/>
      <c r="B104" s="154"/>
      <c r="C104" s="154"/>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row>
    <row r="105" spans="1:26" ht="14.25" customHeight="1">
      <c r="A105" s="154"/>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row>
    <row r="106" spans="1:26" ht="14.25" customHeight="1">
      <c r="A106" s="154"/>
      <c r="B106" s="154"/>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row>
    <row r="107" spans="1:26" ht="14.25" customHeight="1">
      <c r="A107" s="154"/>
      <c r="B107" s="154"/>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row>
    <row r="108" spans="1:26" ht="14.25" customHeight="1">
      <c r="A108" s="154"/>
      <c r="B108" s="154"/>
      <c r="C108" s="154"/>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row>
    <row r="109" spans="1:26" ht="14.25" customHeight="1">
      <c r="A109" s="154"/>
      <c r="B109" s="154"/>
      <c r="C109" s="154"/>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row>
    <row r="110" spans="1:26" ht="14.25" customHeight="1">
      <c r="A110" s="154"/>
      <c r="B110" s="154"/>
      <c r="C110" s="154"/>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row>
    <row r="111" spans="1:26" ht="14.25" customHeight="1">
      <c r="A111" s="154"/>
      <c r="B111" s="154"/>
      <c r="C111" s="154"/>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row>
    <row r="112" spans="1:26" ht="14.25" customHeight="1">
      <c r="A112" s="154"/>
      <c r="B112" s="154"/>
      <c r="C112" s="154"/>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row>
    <row r="113" spans="1:26" ht="14.25" customHeight="1">
      <c r="A113" s="154"/>
      <c r="B113" s="154"/>
      <c r="C113" s="154"/>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row>
    <row r="114" spans="1:26" ht="14.25" customHeight="1">
      <c r="A114" s="154"/>
      <c r="B114" s="154"/>
      <c r="C114" s="154"/>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4"/>
    </row>
    <row r="115" spans="1:26" ht="14.25" customHeight="1">
      <c r="A115" s="154"/>
      <c r="B115" s="154"/>
      <c r="C115" s="154"/>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row>
    <row r="116" spans="1:26" ht="14.25" customHeight="1">
      <c r="A116" s="154"/>
      <c r="B116" s="154"/>
      <c r="C116" s="154"/>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row>
    <row r="117" spans="1:26" ht="14.25" customHeight="1">
      <c r="A117" s="154"/>
      <c r="B117" s="154"/>
      <c r="C117" s="154"/>
      <c r="D117" s="154"/>
      <c r="E117" s="154"/>
      <c r="F117" s="154"/>
      <c r="G117" s="154"/>
      <c r="H117" s="154"/>
      <c r="I117" s="154"/>
      <c r="J117" s="154"/>
      <c r="K117" s="154"/>
      <c r="L117" s="154"/>
      <c r="M117" s="154"/>
      <c r="N117" s="154"/>
      <c r="O117" s="154"/>
      <c r="P117" s="154"/>
      <c r="Q117" s="154"/>
      <c r="R117" s="154"/>
      <c r="S117" s="154"/>
      <c r="T117" s="154"/>
      <c r="U117" s="154"/>
      <c r="V117" s="154"/>
      <c r="W117" s="154"/>
      <c r="X117" s="154"/>
      <c r="Y117" s="154"/>
      <c r="Z117" s="154"/>
    </row>
    <row r="118" spans="1:26" ht="14.25" customHeight="1">
      <c r="A118" s="154"/>
      <c r="B118" s="154"/>
      <c r="C118" s="154"/>
      <c r="D118" s="154"/>
      <c r="E118" s="154"/>
      <c r="F118" s="154"/>
      <c r="G118" s="154"/>
      <c r="H118" s="154"/>
      <c r="I118" s="154"/>
      <c r="J118" s="154"/>
      <c r="K118" s="154"/>
      <c r="L118" s="154"/>
      <c r="M118" s="154"/>
      <c r="N118" s="154"/>
      <c r="O118" s="154"/>
      <c r="P118" s="154"/>
      <c r="Q118" s="154"/>
      <c r="R118" s="154"/>
      <c r="S118" s="154"/>
      <c r="T118" s="154"/>
      <c r="U118" s="154"/>
      <c r="V118" s="154"/>
      <c r="W118" s="154"/>
      <c r="X118" s="154"/>
      <c r="Y118" s="154"/>
      <c r="Z118" s="154"/>
    </row>
    <row r="119" spans="1:26" ht="14.25" customHeight="1">
      <c r="A119" s="154"/>
      <c r="B119" s="154"/>
      <c r="C119" s="154"/>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row>
    <row r="120" spans="1:26" ht="14.25" customHeight="1">
      <c r="A120" s="154"/>
      <c r="B120" s="154"/>
      <c r="C120" s="154"/>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row>
    <row r="121" spans="1:26" ht="14.25" customHeight="1">
      <c r="A121" s="154"/>
      <c r="B121" s="154"/>
      <c r="C121" s="154"/>
      <c r="D121" s="154"/>
      <c r="E121" s="154"/>
      <c r="F121" s="154"/>
      <c r="G121" s="154"/>
      <c r="H121" s="154"/>
      <c r="I121" s="154"/>
      <c r="J121" s="154"/>
      <c r="K121" s="154"/>
      <c r="L121" s="154"/>
      <c r="M121" s="154"/>
      <c r="N121" s="154"/>
      <c r="O121" s="154"/>
      <c r="P121" s="154"/>
      <c r="Q121" s="154"/>
      <c r="R121" s="154"/>
      <c r="S121" s="154"/>
      <c r="T121" s="154"/>
      <c r="U121" s="154"/>
      <c r="V121" s="154"/>
      <c r="W121" s="154"/>
      <c r="X121" s="154"/>
      <c r="Y121" s="154"/>
      <c r="Z121" s="154"/>
    </row>
    <row r="122" spans="1:26" ht="14.25" customHeight="1">
      <c r="A122" s="154"/>
      <c r="B122" s="154"/>
      <c r="C122" s="154"/>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row>
    <row r="123" spans="1:26" ht="14.25" customHeight="1">
      <c r="A123" s="154"/>
      <c r="B123" s="154"/>
      <c r="C123" s="154"/>
      <c r="D123" s="154"/>
      <c r="E123" s="154"/>
      <c r="F123" s="154"/>
      <c r="G123" s="154"/>
      <c r="H123" s="154"/>
      <c r="I123" s="154"/>
      <c r="J123" s="154"/>
      <c r="K123" s="154"/>
      <c r="L123" s="154"/>
      <c r="M123" s="154"/>
      <c r="N123" s="154"/>
      <c r="O123" s="154"/>
      <c r="P123" s="154"/>
      <c r="Q123" s="154"/>
      <c r="R123" s="154"/>
      <c r="S123" s="154"/>
      <c r="T123" s="154"/>
      <c r="U123" s="154"/>
      <c r="V123" s="154"/>
      <c r="W123" s="154"/>
      <c r="X123" s="154"/>
      <c r="Y123" s="154"/>
      <c r="Z123" s="154"/>
    </row>
    <row r="124" spans="1:26" ht="14.25" customHeight="1">
      <c r="A124" s="154"/>
      <c r="B124" s="154"/>
      <c r="C124" s="154"/>
      <c r="D124" s="154"/>
      <c r="E124" s="154"/>
      <c r="F124" s="154"/>
      <c r="G124" s="154"/>
      <c r="H124" s="154"/>
      <c r="I124" s="154"/>
      <c r="J124" s="154"/>
      <c r="K124" s="154"/>
      <c r="L124" s="154"/>
      <c r="M124" s="154"/>
      <c r="N124" s="154"/>
      <c r="O124" s="154"/>
      <c r="P124" s="154"/>
      <c r="Q124" s="154"/>
      <c r="R124" s="154"/>
      <c r="S124" s="154"/>
      <c r="T124" s="154"/>
      <c r="U124" s="154"/>
      <c r="V124" s="154"/>
      <c r="W124" s="154"/>
      <c r="X124" s="154"/>
      <c r="Y124" s="154"/>
      <c r="Z124" s="154"/>
    </row>
    <row r="125" spans="1:26" ht="14.25" customHeight="1">
      <c r="A125" s="154"/>
      <c r="B125" s="154"/>
      <c r="C125" s="154"/>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row>
    <row r="126" spans="1:26" ht="14.25" customHeight="1">
      <c r="A126" s="154"/>
      <c r="B126" s="154"/>
      <c r="C126" s="154"/>
      <c r="D126" s="154"/>
      <c r="E126" s="154"/>
      <c r="F126" s="154"/>
      <c r="G126" s="154"/>
      <c r="H126" s="154"/>
      <c r="I126" s="154"/>
      <c r="J126" s="154"/>
      <c r="K126" s="154"/>
      <c r="L126" s="154"/>
      <c r="M126" s="154"/>
      <c r="N126" s="154"/>
      <c r="O126" s="154"/>
      <c r="P126" s="154"/>
      <c r="Q126" s="154"/>
      <c r="R126" s="154"/>
      <c r="S126" s="154"/>
      <c r="T126" s="154"/>
      <c r="U126" s="154"/>
      <c r="V126" s="154"/>
      <c r="W126" s="154"/>
      <c r="X126" s="154"/>
      <c r="Y126" s="154"/>
      <c r="Z126" s="154"/>
    </row>
    <row r="127" spans="1:26" ht="14.25" customHeight="1">
      <c r="A127" s="154"/>
      <c r="B127" s="154"/>
      <c r="C127" s="154"/>
      <c r="D127" s="154"/>
      <c r="E127" s="154"/>
      <c r="F127" s="154"/>
      <c r="G127" s="154"/>
      <c r="H127" s="154"/>
      <c r="I127" s="154"/>
      <c r="J127" s="154"/>
      <c r="K127" s="154"/>
      <c r="L127" s="154"/>
      <c r="M127" s="154"/>
      <c r="N127" s="154"/>
      <c r="O127" s="154"/>
      <c r="P127" s="154"/>
      <c r="Q127" s="154"/>
      <c r="R127" s="154"/>
      <c r="S127" s="154"/>
      <c r="T127" s="154"/>
      <c r="U127" s="154"/>
      <c r="V127" s="154"/>
      <c r="W127" s="154"/>
      <c r="X127" s="154"/>
      <c r="Y127" s="154"/>
      <c r="Z127" s="154"/>
    </row>
    <row r="128" spans="1:26" ht="14.25" customHeight="1">
      <c r="A128" s="154"/>
      <c r="B128" s="154"/>
      <c r="C128" s="154"/>
      <c r="D128" s="154"/>
      <c r="E128" s="154"/>
      <c r="F128" s="154"/>
      <c r="G128" s="154"/>
      <c r="H128" s="154"/>
      <c r="I128" s="154"/>
      <c r="J128" s="154"/>
      <c r="K128" s="154"/>
      <c r="L128" s="154"/>
      <c r="M128" s="154"/>
      <c r="N128" s="154"/>
      <c r="O128" s="154"/>
      <c r="P128" s="154"/>
      <c r="Q128" s="154"/>
      <c r="R128" s="154"/>
      <c r="S128" s="154"/>
      <c r="T128" s="154"/>
      <c r="U128" s="154"/>
      <c r="V128" s="154"/>
      <c r="W128" s="154"/>
      <c r="X128" s="154"/>
      <c r="Y128" s="154"/>
      <c r="Z128" s="154"/>
    </row>
    <row r="129" spans="1:26" ht="14.25" customHeight="1">
      <c r="A129" s="154"/>
      <c r="B129" s="154"/>
      <c r="C129" s="154"/>
      <c r="D129" s="154"/>
      <c r="E129" s="154"/>
      <c r="F129" s="154"/>
      <c r="G129" s="154"/>
      <c r="H129" s="154"/>
      <c r="I129" s="154"/>
      <c r="J129" s="154"/>
      <c r="K129" s="154"/>
      <c r="L129" s="154"/>
      <c r="M129" s="154"/>
      <c r="N129" s="154"/>
      <c r="O129" s="154"/>
      <c r="P129" s="154"/>
      <c r="Q129" s="154"/>
      <c r="R129" s="154"/>
      <c r="S129" s="154"/>
      <c r="T129" s="154"/>
      <c r="U129" s="154"/>
      <c r="V129" s="154"/>
      <c r="W129" s="154"/>
      <c r="X129" s="154"/>
      <c r="Y129" s="154"/>
      <c r="Z129" s="154"/>
    </row>
    <row r="130" spans="1:26" ht="14.25" customHeight="1">
      <c r="A130" s="154"/>
      <c r="B130" s="154"/>
      <c r="C130" s="154"/>
      <c r="D130" s="154"/>
      <c r="E130" s="154"/>
      <c r="F130" s="154"/>
      <c r="G130" s="154"/>
      <c r="H130" s="154"/>
      <c r="I130" s="154"/>
      <c r="J130" s="154"/>
      <c r="K130" s="154"/>
      <c r="L130" s="154"/>
      <c r="M130" s="154"/>
      <c r="N130" s="154"/>
      <c r="O130" s="154"/>
      <c r="P130" s="154"/>
      <c r="Q130" s="154"/>
      <c r="R130" s="154"/>
      <c r="S130" s="154"/>
      <c r="T130" s="154"/>
      <c r="U130" s="154"/>
      <c r="V130" s="154"/>
      <c r="W130" s="154"/>
      <c r="X130" s="154"/>
      <c r="Y130" s="154"/>
      <c r="Z130" s="154"/>
    </row>
    <row r="131" spans="1:26" ht="14.25" customHeight="1">
      <c r="A131" s="154"/>
      <c r="B131" s="154"/>
      <c r="C131" s="154"/>
      <c r="D131" s="154"/>
      <c r="E131" s="154"/>
      <c r="F131" s="154"/>
      <c r="G131" s="154"/>
      <c r="H131" s="154"/>
      <c r="I131" s="154"/>
      <c r="J131" s="154"/>
      <c r="K131" s="154"/>
      <c r="L131" s="154"/>
      <c r="M131" s="154"/>
      <c r="N131" s="154"/>
      <c r="O131" s="154"/>
      <c r="P131" s="154"/>
      <c r="Q131" s="154"/>
      <c r="R131" s="154"/>
      <c r="S131" s="154"/>
      <c r="T131" s="154"/>
      <c r="U131" s="154"/>
      <c r="V131" s="154"/>
      <c r="W131" s="154"/>
      <c r="X131" s="154"/>
      <c r="Y131" s="154"/>
      <c r="Z131" s="154"/>
    </row>
    <row r="132" spans="1:26" ht="14.25" customHeight="1">
      <c r="A132" s="154"/>
      <c r="B132" s="154"/>
      <c r="C132" s="154"/>
      <c r="D132" s="154"/>
      <c r="E132" s="154"/>
      <c r="F132" s="154"/>
      <c r="G132" s="154"/>
      <c r="H132" s="154"/>
      <c r="I132" s="154"/>
      <c r="J132" s="154"/>
      <c r="K132" s="154"/>
      <c r="L132" s="154"/>
      <c r="M132" s="154"/>
      <c r="N132" s="154"/>
      <c r="O132" s="154"/>
      <c r="P132" s="154"/>
      <c r="Q132" s="154"/>
      <c r="R132" s="154"/>
      <c r="S132" s="154"/>
      <c r="T132" s="154"/>
      <c r="U132" s="154"/>
      <c r="V132" s="154"/>
      <c r="W132" s="154"/>
      <c r="X132" s="154"/>
      <c r="Y132" s="154"/>
      <c r="Z132" s="154"/>
    </row>
    <row r="133" spans="1:26" ht="14.25" customHeight="1">
      <c r="A133" s="154"/>
      <c r="B133" s="154"/>
      <c r="C133" s="154"/>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row>
    <row r="134" spans="1:26" ht="14.25" customHeight="1">
      <c r="A134" s="154"/>
      <c r="B134" s="154"/>
      <c r="C134" s="154"/>
      <c r="D134" s="154"/>
      <c r="E134" s="154"/>
      <c r="F134" s="154"/>
      <c r="G134" s="154"/>
      <c r="H134" s="154"/>
      <c r="I134" s="154"/>
      <c r="J134" s="154"/>
      <c r="K134" s="154"/>
      <c r="L134" s="154"/>
      <c r="M134" s="154"/>
      <c r="N134" s="154"/>
      <c r="O134" s="154"/>
      <c r="P134" s="154"/>
      <c r="Q134" s="154"/>
      <c r="R134" s="154"/>
      <c r="S134" s="154"/>
      <c r="T134" s="154"/>
      <c r="U134" s="154"/>
      <c r="V134" s="154"/>
      <c r="W134" s="154"/>
      <c r="X134" s="154"/>
      <c r="Y134" s="154"/>
      <c r="Z134" s="154"/>
    </row>
    <row r="135" spans="1:26" ht="14.25" customHeight="1">
      <c r="A135" s="154"/>
      <c r="B135" s="154"/>
      <c r="C135" s="154"/>
      <c r="D135" s="154"/>
      <c r="E135" s="154"/>
      <c r="F135" s="154"/>
      <c r="G135" s="154"/>
      <c r="H135" s="154"/>
      <c r="I135" s="154"/>
      <c r="J135" s="154"/>
      <c r="K135" s="154"/>
      <c r="L135" s="154"/>
      <c r="M135" s="154"/>
      <c r="N135" s="154"/>
      <c r="O135" s="154"/>
      <c r="P135" s="154"/>
      <c r="Q135" s="154"/>
      <c r="R135" s="154"/>
      <c r="S135" s="154"/>
      <c r="T135" s="154"/>
      <c r="U135" s="154"/>
      <c r="V135" s="154"/>
      <c r="W135" s="154"/>
      <c r="X135" s="154"/>
      <c r="Y135" s="154"/>
      <c r="Z135" s="154"/>
    </row>
    <row r="136" spans="1:26" ht="14.25" customHeight="1">
      <c r="A136" s="154"/>
      <c r="B136" s="154"/>
      <c r="C136" s="154"/>
      <c r="D136" s="154"/>
      <c r="E136" s="154"/>
      <c r="F136" s="154"/>
      <c r="G136" s="154"/>
      <c r="H136" s="154"/>
      <c r="I136" s="154"/>
      <c r="J136" s="154"/>
      <c r="K136" s="154"/>
      <c r="L136" s="154"/>
      <c r="M136" s="154"/>
      <c r="N136" s="154"/>
      <c r="O136" s="154"/>
      <c r="P136" s="154"/>
      <c r="Q136" s="154"/>
      <c r="R136" s="154"/>
      <c r="S136" s="154"/>
      <c r="T136" s="154"/>
      <c r="U136" s="154"/>
      <c r="V136" s="154"/>
      <c r="W136" s="154"/>
      <c r="X136" s="154"/>
      <c r="Y136" s="154"/>
      <c r="Z136" s="154"/>
    </row>
    <row r="137" spans="1:26" ht="14.25" customHeight="1">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row>
    <row r="138" spans="1:26" ht="14.25" customHeight="1">
      <c r="A138" s="154"/>
      <c r="B138" s="154"/>
      <c r="C138" s="154"/>
      <c r="D138" s="154"/>
      <c r="E138" s="154"/>
      <c r="F138" s="154"/>
      <c r="G138" s="154"/>
      <c r="H138" s="154"/>
      <c r="I138" s="154"/>
      <c r="J138" s="154"/>
      <c r="K138" s="154"/>
      <c r="L138" s="154"/>
      <c r="M138" s="154"/>
      <c r="N138" s="154"/>
      <c r="O138" s="154"/>
      <c r="P138" s="154"/>
      <c r="Q138" s="154"/>
      <c r="R138" s="154"/>
      <c r="S138" s="154"/>
      <c r="T138" s="154"/>
      <c r="U138" s="154"/>
      <c r="V138" s="154"/>
      <c r="W138" s="154"/>
      <c r="X138" s="154"/>
      <c r="Y138" s="154"/>
      <c r="Z138" s="154"/>
    </row>
    <row r="139" spans="1:26" ht="14.25" customHeight="1">
      <c r="A139" s="154"/>
      <c r="B139" s="154"/>
      <c r="C139" s="154"/>
      <c r="D139" s="154"/>
      <c r="E139" s="154"/>
      <c r="F139" s="154"/>
      <c r="G139" s="154"/>
      <c r="H139" s="154"/>
      <c r="I139" s="154"/>
      <c r="J139" s="154"/>
      <c r="K139" s="154"/>
      <c r="L139" s="154"/>
      <c r="M139" s="154"/>
      <c r="N139" s="154"/>
      <c r="O139" s="154"/>
      <c r="P139" s="154"/>
      <c r="Q139" s="154"/>
      <c r="R139" s="154"/>
      <c r="S139" s="154"/>
      <c r="T139" s="154"/>
      <c r="U139" s="154"/>
      <c r="V139" s="154"/>
      <c r="W139" s="154"/>
      <c r="X139" s="154"/>
      <c r="Y139" s="154"/>
      <c r="Z139" s="154"/>
    </row>
    <row r="140" spans="1:26" ht="14.25" customHeight="1">
      <c r="A140" s="154"/>
      <c r="B140" s="154"/>
      <c r="C140" s="154"/>
      <c r="D140" s="154"/>
      <c r="E140" s="154"/>
      <c r="F140" s="154"/>
      <c r="G140" s="154"/>
      <c r="H140" s="154"/>
      <c r="I140" s="154"/>
      <c r="J140" s="154"/>
      <c r="K140" s="154"/>
      <c r="L140" s="154"/>
      <c r="M140" s="154"/>
      <c r="N140" s="154"/>
      <c r="O140" s="154"/>
      <c r="P140" s="154"/>
      <c r="Q140" s="154"/>
      <c r="R140" s="154"/>
      <c r="S140" s="154"/>
      <c r="T140" s="154"/>
      <c r="U140" s="154"/>
      <c r="V140" s="154"/>
      <c r="W140" s="154"/>
      <c r="X140" s="154"/>
      <c r="Y140" s="154"/>
      <c r="Z140" s="154"/>
    </row>
    <row r="141" spans="1:26" ht="14.25" customHeight="1">
      <c r="A141" s="154"/>
      <c r="B141" s="154"/>
      <c r="C141" s="154"/>
      <c r="D141" s="154"/>
      <c r="E141" s="154"/>
      <c r="F141" s="154"/>
      <c r="G141" s="154"/>
      <c r="H141" s="154"/>
      <c r="I141" s="154"/>
      <c r="J141" s="154"/>
      <c r="K141" s="154"/>
      <c r="L141" s="154"/>
      <c r="M141" s="154"/>
      <c r="N141" s="154"/>
      <c r="O141" s="154"/>
      <c r="P141" s="154"/>
      <c r="Q141" s="154"/>
      <c r="R141" s="154"/>
      <c r="S141" s="154"/>
      <c r="T141" s="154"/>
      <c r="U141" s="154"/>
      <c r="V141" s="154"/>
      <c r="W141" s="154"/>
      <c r="X141" s="154"/>
      <c r="Y141" s="154"/>
      <c r="Z141" s="154"/>
    </row>
    <row r="142" spans="1:26" ht="14.25" customHeight="1">
      <c r="A142" s="154"/>
      <c r="B142" s="154"/>
      <c r="C142" s="154"/>
      <c r="D142" s="154"/>
      <c r="E142" s="154"/>
      <c r="F142" s="154"/>
      <c r="G142" s="154"/>
      <c r="H142" s="154"/>
      <c r="I142" s="154"/>
      <c r="J142" s="154"/>
      <c r="K142" s="154"/>
      <c r="L142" s="154"/>
      <c r="M142" s="154"/>
      <c r="N142" s="154"/>
      <c r="O142" s="154"/>
      <c r="P142" s="154"/>
      <c r="Q142" s="154"/>
      <c r="R142" s="154"/>
      <c r="S142" s="154"/>
      <c r="T142" s="154"/>
      <c r="U142" s="154"/>
      <c r="V142" s="154"/>
      <c r="W142" s="154"/>
      <c r="X142" s="154"/>
      <c r="Y142" s="154"/>
      <c r="Z142" s="154"/>
    </row>
    <row r="143" spans="1:26" ht="14.25" customHeight="1">
      <c r="A143" s="154"/>
      <c r="B143" s="154"/>
      <c r="C143" s="154"/>
      <c r="D143" s="154"/>
      <c r="E143" s="154"/>
      <c r="F143" s="154"/>
      <c r="G143" s="154"/>
      <c r="H143" s="154"/>
      <c r="I143" s="154"/>
      <c r="J143" s="154"/>
      <c r="K143" s="154"/>
      <c r="L143" s="154"/>
      <c r="M143" s="154"/>
      <c r="N143" s="154"/>
      <c r="O143" s="154"/>
      <c r="P143" s="154"/>
      <c r="Q143" s="154"/>
      <c r="R143" s="154"/>
      <c r="S143" s="154"/>
      <c r="T143" s="154"/>
      <c r="U143" s="154"/>
      <c r="V143" s="154"/>
      <c r="W143" s="154"/>
      <c r="X143" s="154"/>
      <c r="Y143" s="154"/>
      <c r="Z143" s="154"/>
    </row>
    <row r="144" spans="1:26" ht="14.25" customHeight="1">
      <c r="A144" s="154"/>
      <c r="B144" s="154"/>
      <c r="C144" s="154"/>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row>
    <row r="145" spans="1:26" ht="14.25" customHeight="1">
      <c r="A145" s="154"/>
      <c r="B145" s="154"/>
      <c r="C145" s="154"/>
      <c r="D145" s="154"/>
      <c r="E145" s="154"/>
      <c r="F145" s="154"/>
      <c r="G145" s="154"/>
      <c r="H145" s="154"/>
      <c r="I145" s="154"/>
      <c r="J145" s="154"/>
      <c r="K145" s="154"/>
      <c r="L145" s="154"/>
      <c r="M145" s="154"/>
      <c r="N145" s="154"/>
      <c r="O145" s="154"/>
      <c r="P145" s="154"/>
      <c r="Q145" s="154"/>
      <c r="R145" s="154"/>
      <c r="S145" s="154"/>
      <c r="T145" s="154"/>
      <c r="U145" s="154"/>
      <c r="V145" s="154"/>
      <c r="W145" s="154"/>
      <c r="X145" s="154"/>
      <c r="Y145" s="154"/>
      <c r="Z145" s="154"/>
    </row>
    <row r="146" spans="1:26" ht="14.25" customHeight="1">
      <c r="A146" s="154"/>
      <c r="B146" s="154"/>
      <c r="C146" s="154"/>
      <c r="D146" s="154"/>
      <c r="E146" s="154"/>
      <c r="F146" s="154"/>
      <c r="G146" s="154"/>
      <c r="H146" s="154"/>
      <c r="I146" s="154"/>
      <c r="J146" s="154"/>
      <c r="K146" s="154"/>
      <c r="L146" s="154"/>
      <c r="M146" s="154"/>
      <c r="N146" s="154"/>
      <c r="O146" s="154"/>
      <c r="P146" s="154"/>
      <c r="Q146" s="154"/>
      <c r="R146" s="154"/>
      <c r="S146" s="154"/>
      <c r="T146" s="154"/>
      <c r="U146" s="154"/>
      <c r="V146" s="154"/>
      <c r="W146" s="154"/>
      <c r="X146" s="154"/>
      <c r="Y146" s="154"/>
      <c r="Z146" s="154"/>
    </row>
    <row r="147" spans="1:26" ht="14.25" customHeight="1">
      <c r="A147" s="154"/>
      <c r="B147" s="154"/>
      <c r="C147" s="154"/>
      <c r="D147" s="154"/>
      <c r="E147" s="154"/>
      <c r="F147" s="154"/>
      <c r="G147" s="154"/>
      <c r="H147" s="154"/>
      <c r="I147" s="154"/>
      <c r="J147" s="154"/>
      <c r="K147" s="154"/>
      <c r="L147" s="154"/>
      <c r="M147" s="154"/>
      <c r="N147" s="154"/>
      <c r="O147" s="154"/>
      <c r="P147" s="154"/>
      <c r="Q147" s="154"/>
      <c r="R147" s="154"/>
      <c r="S147" s="154"/>
      <c r="T147" s="154"/>
      <c r="U147" s="154"/>
      <c r="V147" s="154"/>
      <c r="W147" s="154"/>
      <c r="X147" s="154"/>
      <c r="Y147" s="154"/>
      <c r="Z147" s="154"/>
    </row>
    <row r="148" spans="1:26" ht="14.25" customHeight="1">
      <c r="A148" s="154"/>
      <c r="B148" s="154"/>
      <c r="C148" s="154"/>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row>
    <row r="149" spans="1:26" ht="14.25" customHeight="1">
      <c r="A149" s="154"/>
      <c r="B149" s="154"/>
      <c r="C149" s="154"/>
      <c r="D149" s="154"/>
      <c r="E149" s="154"/>
      <c r="F149" s="154"/>
      <c r="G149" s="154"/>
      <c r="H149" s="154"/>
      <c r="I149" s="154"/>
      <c r="J149" s="154"/>
      <c r="K149" s="154"/>
      <c r="L149" s="154"/>
      <c r="M149" s="154"/>
      <c r="N149" s="154"/>
      <c r="O149" s="154"/>
      <c r="P149" s="154"/>
      <c r="Q149" s="154"/>
      <c r="R149" s="154"/>
      <c r="S149" s="154"/>
      <c r="T149" s="154"/>
      <c r="U149" s="154"/>
      <c r="V149" s="154"/>
      <c r="W149" s="154"/>
      <c r="X149" s="154"/>
      <c r="Y149" s="154"/>
      <c r="Z149" s="154"/>
    </row>
    <row r="150" spans="1:26" ht="14.25" customHeight="1">
      <c r="A150" s="154"/>
      <c r="B150" s="154"/>
      <c r="C150" s="154"/>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row>
    <row r="151" spans="1:26" ht="14.25" customHeight="1">
      <c r="A151" s="154"/>
      <c r="B151" s="154"/>
      <c r="C151" s="154"/>
      <c r="D151" s="154"/>
      <c r="E151" s="154"/>
      <c r="F151" s="154"/>
      <c r="G151" s="154"/>
      <c r="H151" s="154"/>
      <c r="I151" s="154"/>
      <c r="J151" s="154"/>
      <c r="K151" s="154"/>
      <c r="L151" s="154"/>
      <c r="M151" s="154"/>
      <c r="N151" s="154"/>
      <c r="O151" s="154"/>
      <c r="P151" s="154"/>
      <c r="Q151" s="154"/>
      <c r="R151" s="154"/>
      <c r="S151" s="154"/>
      <c r="T151" s="154"/>
      <c r="U151" s="154"/>
      <c r="V151" s="154"/>
      <c r="W151" s="154"/>
      <c r="X151" s="154"/>
      <c r="Y151" s="154"/>
      <c r="Z151" s="154"/>
    </row>
    <row r="152" spans="1:26" ht="14.25" customHeight="1">
      <c r="A152" s="154"/>
      <c r="B152" s="154"/>
      <c r="C152" s="154"/>
      <c r="D152" s="154"/>
      <c r="E152" s="154"/>
      <c r="F152" s="154"/>
      <c r="G152" s="154"/>
      <c r="H152" s="154"/>
      <c r="I152" s="154"/>
      <c r="J152" s="154"/>
      <c r="K152" s="154"/>
      <c r="L152" s="154"/>
      <c r="M152" s="154"/>
      <c r="N152" s="154"/>
      <c r="O152" s="154"/>
      <c r="P152" s="154"/>
      <c r="Q152" s="154"/>
      <c r="R152" s="154"/>
      <c r="S152" s="154"/>
      <c r="T152" s="154"/>
      <c r="U152" s="154"/>
      <c r="V152" s="154"/>
      <c r="W152" s="154"/>
      <c r="X152" s="154"/>
      <c r="Y152" s="154"/>
      <c r="Z152" s="154"/>
    </row>
    <row r="153" spans="1:26" ht="14.25" customHeight="1">
      <c r="A153" s="154"/>
      <c r="B153" s="154"/>
      <c r="C153" s="154"/>
      <c r="D153" s="154"/>
      <c r="E153" s="154"/>
      <c r="F153" s="154"/>
      <c r="G153" s="154"/>
      <c r="H153" s="154"/>
      <c r="I153" s="154"/>
      <c r="J153" s="154"/>
      <c r="K153" s="154"/>
      <c r="L153" s="154"/>
      <c r="M153" s="154"/>
      <c r="N153" s="154"/>
      <c r="O153" s="154"/>
      <c r="P153" s="154"/>
      <c r="Q153" s="154"/>
      <c r="R153" s="154"/>
      <c r="S153" s="154"/>
      <c r="T153" s="154"/>
      <c r="U153" s="154"/>
      <c r="V153" s="154"/>
      <c r="W153" s="154"/>
      <c r="X153" s="154"/>
      <c r="Y153" s="154"/>
      <c r="Z153" s="154"/>
    </row>
    <row r="154" spans="1:26" ht="14.25" customHeight="1">
      <c r="A154" s="154"/>
      <c r="B154" s="154"/>
      <c r="C154" s="154"/>
      <c r="D154" s="154"/>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row>
    <row r="155" spans="1:26" ht="14.25" customHeight="1">
      <c r="A155" s="154"/>
      <c r="B155" s="154"/>
      <c r="C155" s="154"/>
      <c r="D155" s="154"/>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row>
    <row r="156" spans="1:26" ht="14.25" customHeight="1">
      <c r="A156" s="154"/>
      <c r="B156" s="154"/>
      <c r="C156" s="154"/>
      <c r="D156" s="154"/>
      <c r="E156" s="154"/>
      <c r="F156" s="154"/>
      <c r="G156" s="154"/>
      <c r="H156" s="154"/>
      <c r="I156" s="154"/>
      <c r="J156" s="154"/>
      <c r="K156" s="154"/>
      <c r="L156" s="154"/>
      <c r="M156" s="154"/>
      <c r="N156" s="154"/>
      <c r="O156" s="154"/>
      <c r="P156" s="154"/>
      <c r="Q156" s="154"/>
      <c r="R156" s="154"/>
      <c r="S156" s="154"/>
      <c r="T156" s="154"/>
      <c r="U156" s="154"/>
      <c r="V156" s="154"/>
      <c r="W156" s="154"/>
      <c r="X156" s="154"/>
      <c r="Y156" s="154"/>
      <c r="Z156" s="154"/>
    </row>
    <row r="157" spans="1:26" ht="14.25" customHeight="1">
      <c r="A157" s="154"/>
      <c r="B157" s="154"/>
      <c r="C157" s="154"/>
      <c r="D157" s="154"/>
      <c r="E157" s="154"/>
      <c r="F157" s="154"/>
      <c r="G157" s="154"/>
      <c r="H157" s="154"/>
      <c r="I157" s="154"/>
      <c r="J157" s="154"/>
      <c r="K157" s="154"/>
      <c r="L157" s="154"/>
      <c r="M157" s="154"/>
      <c r="N157" s="154"/>
      <c r="O157" s="154"/>
      <c r="P157" s="154"/>
      <c r="Q157" s="154"/>
      <c r="R157" s="154"/>
      <c r="S157" s="154"/>
      <c r="T157" s="154"/>
      <c r="U157" s="154"/>
      <c r="V157" s="154"/>
      <c r="W157" s="154"/>
      <c r="X157" s="154"/>
      <c r="Y157" s="154"/>
      <c r="Z157" s="154"/>
    </row>
    <row r="158" spans="1:26" ht="14.25" customHeight="1">
      <c r="A158" s="154"/>
      <c r="B158" s="154"/>
      <c r="C158" s="154"/>
      <c r="D158" s="154"/>
      <c r="E158" s="154"/>
      <c r="F158" s="154"/>
      <c r="G158" s="154"/>
      <c r="H158" s="154"/>
      <c r="I158" s="154"/>
      <c r="J158" s="154"/>
      <c r="K158" s="154"/>
      <c r="L158" s="154"/>
      <c r="M158" s="154"/>
      <c r="N158" s="154"/>
      <c r="O158" s="154"/>
      <c r="P158" s="154"/>
      <c r="Q158" s="154"/>
      <c r="R158" s="154"/>
      <c r="S158" s="154"/>
      <c r="T158" s="154"/>
      <c r="U158" s="154"/>
      <c r="V158" s="154"/>
      <c r="W158" s="154"/>
      <c r="X158" s="154"/>
      <c r="Y158" s="154"/>
      <c r="Z158" s="154"/>
    </row>
    <row r="159" spans="1:26" ht="14.25" customHeight="1">
      <c r="A159" s="154"/>
      <c r="B159" s="154"/>
      <c r="C159" s="154"/>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row>
    <row r="160" spans="1:26" ht="14.25" customHeight="1">
      <c r="A160" s="154"/>
      <c r="B160" s="154"/>
      <c r="C160" s="154"/>
      <c r="D160" s="154"/>
      <c r="E160" s="154"/>
      <c r="F160" s="154"/>
      <c r="G160" s="154"/>
      <c r="H160" s="154"/>
      <c r="I160" s="154"/>
      <c r="J160" s="154"/>
      <c r="K160" s="154"/>
      <c r="L160" s="154"/>
      <c r="M160" s="154"/>
      <c r="N160" s="154"/>
      <c r="O160" s="154"/>
      <c r="P160" s="154"/>
      <c r="Q160" s="154"/>
      <c r="R160" s="154"/>
      <c r="S160" s="154"/>
      <c r="T160" s="154"/>
      <c r="U160" s="154"/>
      <c r="V160" s="154"/>
      <c r="W160" s="154"/>
      <c r="X160" s="154"/>
      <c r="Y160" s="154"/>
      <c r="Z160" s="154"/>
    </row>
    <row r="161" spans="1:26" ht="14.25" customHeight="1">
      <c r="A161" s="154"/>
      <c r="B161" s="154"/>
      <c r="C161" s="154"/>
      <c r="D161" s="154"/>
      <c r="E161" s="154"/>
      <c r="F161" s="154"/>
      <c r="G161" s="154"/>
      <c r="H161" s="154"/>
      <c r="I161" s="154"/>
      <c r="J161" s="154"/>
      <c r="K161" s="154"/>
      <c r="L161" s="154"/>
      <c r="M161" s="154"/>
      <c r="N161" s="154"/>
      <c r="O161" s="154"/>
      <c r="P161" s="154"/>
      <c r="Q161" s="154"/>
      <c r="R161" s="154"/>
      <c r="S161" s="154"/>
      <c r="T161" s="154"/>
      <c r="U161" s="154"/>
      <c r="V161" s="154"/>
      <c r="W161" s="154"/>
      <c r="X161" s="154"/>
      <c r="Y161" s="154"/>
      <c r="Z161" s="154"/>
    </row>
    <row r="162" spans="1:26" ht="14.25" customHeight="1">
      <c r="A162" s="154"/>
      <c r="B162" s="154"/>
      <c r="C162" s="154"/>
      <c r="D162" s="154"/>
      <c r="E162" s="154"/>
      <c r="F162" s="154"/>
      <c r="G162" s="154"/>
      <c r="H162" s="154"/>
      <c r="I162" s="154"/>
      <c r="J162" s="154"/>
      <c r="K162" s="154"/>
      <c r="L162" s="154"/>
      <c r="M162" s="154"/>
      <c r="N162" s="154"/>
      <c r="O162" s="154"/>
      <c r="P162" s="154"/>
      <c r="Q162" s="154"/>
      <c r="R162" s="154"/>
      <c r="S162" s="154"/>
      <c r="T162" s="154"/>
      <c r="U162" s="154"/>
      <c r="V162" s="154"/>
      <c r="W162" s="154"/>
      <c r="X162" s="154"/>
      <c r="Y162" s="154"/>
      <c r="Z162" s="154"/>
    </row>
    <row r="163" spans="1:26" ht="14.25" customHeight="1">
      <c r="A163" s="154"/>
      <c r="B163" s="154"/>
      <c r="C163" s="154"/>
      <c r="D163" s="154"/>
      <c r="E163" s="154"/>
      <c r="F163" s="154"/>
      <c r="G163" s="154"/>
      <c r="H163" s="154"/>
      <c r="I163" s="154"/>
      <c r="J163" s="154"/>
      <c r="K163" s="154"/>
      <c r="L163" s="154"/>
      <c r="M163" s="154"/>
      <c r="N163" s="154"/>
      <c r="O163" s="154"/>
      <c r="P163" s="154"/>
      <c r="Q163" s="154"/>
      <c r="R163" s="154"/>
      <c r="S163" s="154"/>
      <c r="T163" s="154"/>
      <c r="U163" s="154"/>
      <c r="V163" s="154"/>
      <c r="W163" s="154"/>
      <c r="X163" s="154"/>
      <c r="Y163" s="154"/>
      <c r="Z163" s="154"/>
    </row>
    <row r="164" spans="1:26" ht="14.25" customHeight="1">
      <c r="A164" s="154"/>
      <c r="B164" s="154"/>
      <c r="C164" s="154"/>
      <c r="D164" s="154"/>
      <c r="E164" s="154"/>
      <c r="F164" s="154"/>
      <c r="G164" s="154"/>
      <c r="H164" s="154"/>
      <c r="I164" s="154"/>
      <c r="J164" s="154"/>
      <c r="K164" s="154"/>
      <c r="L164" s="154"/>
      <c r="M164" s="154"/>
      <c r="N164" s="154"/>
      <c r="O164" s="154"/>
      <c r="P164" s="154"/>
      <c r="Q164" s="154"/>
      <c r="R164" s="154"/>
      <c r="S164" s="154"/>
      <c r="T164" s="154"/>
      <c r="U164" s="154"/>
      <c r="V164" s="154"/>
      <c r="W164" s="154"/>
      <c r="X164" s="154"/>
      <c r="Y164" s="154"/>
      <c r="Z164" s="154"/>
    </row>
    <row r="165" spans="1:26" ht="14.25" customHeight="1">
      <c r="A165" s="154"/>
      <c r="B165" s="154"/>
      <c r="C165" s="154"/>
      <c r="D165" s="154"/>
      <c r="E165" s="154"/>
      <c r="F165" s="154"/>
      <c r="G165" s="154"/>
      <c r="H165" s="154"/>
      <c r="I165" s="154"/>
      <c r="J165" s="154"/>
      <c r="K165" s="154"/>
      <c r="L165" s="154"/>
      <c r="M165" s="154"/>
      <c r="N165" s="154"/>
      <c r="O165" s="154"/>
      <c r="P165" s="154"/>
      <c r="Q165" s="154"/>
      <c r="R165" s="154"/>
      <c r="S165" s="154"/>
      <c r="T165" s="154"/>
      <c r="U165" s="154"/>
      <c r="V165" s="154"/>
      <c r="W165" s="154"/>
      <c r="X165" s="154"/>
      <c r="Y165" s="154"/>
      <c r="Z165" s="154"/>
    </row>
    <row r="166" spans="1:26" ht="14.25" customHeight="1">
      <c r="A166" s="154"/>
      <c r="B166" s="154"/>
      <c r="C166" s="154"/>
      <c r="D166" s="154"/>
      <c r="E166" s="154"/>
      <c r="F166" s="154"/>
      <c r="G166" s="154"/>
      <c r="H166" s="154"/>
      <c r="I166" s="154"/>
      <c r="J166" s="154"/>
      <c r="K166" s="154"/>
      <c r="L166" s="154"/>
      <c r="M166" s="154"/>
      <c r="N166" s="154"/>
      <c r="O166" s="154"/>
      <c r="P166" s="154"/>
      <c r="Q166" s="154"/>
      <c r="R166" s="154"/>
      <c r="S166" s="154"/>
      <c r="T166" s="154"/>
      <c r="U166" s="154"/>
      <c r="V166" s="154"/>
      <c r="W166" s="154"/>
      <c r="X166" s="154"/>
      <c r="Y166" s="154"/>
      <c r="Z166" s="154"/>
    </row>
    <row r="167" spans="1:26" ht="14.25" customHeight="1">
      <c r="A167" s="154"/>
      <c r="B167" s="154"/>
      <c r="C167" s="154"/>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row>
    <row r="168" spans="1:26" ht="14.25" customHeight="1">
      <c r="A168" s="154"/>
      <c r="B168" s="154"/>
      <c r="C168" s="154"/>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row>
    <row r="169" spans="1:26" ht="14.25" customHeight="1">
      <c r="A169" s="154"/>
      <c r="B169" s="154"/>
      <c r="C169" s="154"/>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row>
    <row r="170" spans="1:26" ht="14.25" customHeight="1">
      <c r="A170" s="154"/>
      <c r="B170" s="154"/>
      <c r="C170" s="154"/>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row>
    <row r="171" spans="1:26" ht="14.25" customHeight="1">
      <c r="A171" s="154"/>
      <c r="B171" s="154"/>
      <c r="C171" s="154"/>
      <c r="D171" s="154"/>
      <c r="E171" s="154"/>
      <c r="F171" s="154"/>
      <c r="G171" s="154"/>
      <c r="H171" s="154"/>
      <c r="I171" s="154"/>
      <c r="J171" s="154"/>
      <c r="K171" s="154"/>
      <c r="L171" s="154"/>
      <c r="M171" s="154"/>
      <c r="N171" s="154"/>
      <c r="O171" s="154"/>
      <c r="P171" s="154"/>
      <c r="Q171" s="154"/>
      <c r="R171" s="154"/>
      <c r="S171" s="154"/>
      <c r="T171" s="154"/>
      <c r="U171" s="154"/>
      <c r="V171" s="154"/>
      <c r="W171" s="154"/>
      <c r="X171" s="154"/>
      <c r="Y171" s="154"/>
      <c r="Z171" s="154"/>
    </row>
    <row r="172" spans="1:26" ht="14.25" customHeight="1">
      <c r="A172" s="154"/>
      <c r="B172" s="154"/>
      <c r="C172" s="154"/>
      <c r="D172" s="154"/>
      <c r="E172" s="154"/>
      <c r="F172" s="154"/>
      <c r="G172" s="154"/>
      <c r="H172" s="154"/>
      <c r="I172" s="154"/>
      <c r="J172" s="154"/>
      <c r="K172" s="154"/>
      <c r="L172" s="154"/>
      <c r="M172" s="154"/>
      <c r="N172" s="154"/>
      <c r="O172" s="154"/>
      <c r="P172" s="154"/>
      <c r="Q172" s="154"/>
      <c r="R172" s="154"/>
      <c r="S172" s="154"/>
      <c r="T172" s="154"/>
      <c r="U172" s="154"/>
      <c r="V172" s="154"/>
      <c r="W172" s="154"/>
      <c r="X172" s="154"/>
      <c r="Y172" s="154"/>
      <c r="Z172" s="154"/>
    </row>
    <row r="173" spans="1:26" ht="14.25" customHeight="1">
      <c r="A173" s="154"/>
      <c r="B173" s="154"/>
      <c r="C173" s="154"/>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row>
    <row r="174" spans="1:26" ht="14.25" customHeight="1">
      <c r="A174" s="154"/>
      <c r="B174" s="154"/>
      <c r="C174" s="154"/>
      <c r="D174" s="154"/>
      <c r="E174" s="154"/>
      <c r="F174" s="154"/>
      <c r="G174" s="154"/>
      <c r="H174" s="154"/>
      <c r="I174" s="154"/>
      <c r="J174" s="154"/>
      <c r="K174" s="154"/>
      <c r="L174" s="154"/>
      <c r="M174" s="154"/>
      <c r="N174" s="154"/>
      <c r="O174" s="154"/>
      <c r="P174" s="154"/>
      <c r="Q174" s="154"/>
      <c r="R174" s="154"/>
      <c r="S174" s="154"/>
      <c r="T174" s="154"/>
      <c r="U174" s="154"/>
      <c r="V174" s="154"/>
      <c r="W174" s="154"/>
      <c r="X174" s="154"/>
      <c r="Y174" s="154"/>
      <c r="Z174" s="154"/>
    </row>
    <row r="175" spans="1:26" ht="14.25" customHeight="1">
      <c r="A175" s="154"/>
      <c r="B175" s="154"/>
      <c r="C175" s="154"/>
      <c r="D175" s="154"/>
      <c r="E175" s="154"/>
      <c r="F175" s="154"/>
      <c r="G175" s="154"/>
      <c r="H175" s="154"/>
      <c r="I175" s="154"/>
      <c r="J175" s="154"/>
      <c r="K175" s="154"/>
      <c r="L175" s="154"/>
      <c r="M175" s="154"/>
      <c r="N175" s="154"/>
      <c r="O175" s="154"/>
      <c r="P175" s="154"/>
      <c r="Q175" s="154"/>
      <c r="R175" s="154"/>
      <c r="S175" s="154"/>
      <c r="T175" s="154"/>
      <c r="U175" s="154"/>
      <c r="V175" s="154"/>
      <c r="W175" s="154"/>
      <c r="X175" s="154"/>
      <c r="Y175" s="154"/>
      <c r="Z175" s="154"/>
    </row>
    <row r="176" spans="1:26" ht="14.25" customHeight="1">
      <c r="A176" s="154"/>
      <c r="B176" s="154"/>
      <c r="C176" s="154"/>
      <c r="D176" s="154"/>
      <c r="E176" s="154"/>
      <c r="F176" s="154"/>
      <c r="G176" s="154"/>
      <c r="H176" s="154"/>
      <c r="I176" s="154"/>
      <c r="J176" s="154"/>
      <c r="K176" s="154"/>
      <c r="L176" s="154"/>
      <c r="M176" s="154"/>
      <c r="N176" s="154"/>
      <c r="O176" s="154"/>
      <c r="P176" s="154"/>
      <c r="Q176" s="154"/>
      <c r="R176" s="154"/>
      <c r="S176" s="154"/>
      <c r="T176" s="154"/>
      <c r="U176" s="154"/>
      <c r="V176" s="154"/>
      <c r="W176" s="154"/>
      <c r="X176" s="154"/>
      <c r="Y176" s="154"/>
      <c r="Z176" s="154"/>
    </row>
    <row r="177" spans="1:26" ht="14.25" customHeight="1">
      <c r="A177" s="154"/>
      <c r="B177" s="154"/>
      <c r="C177" s="154"/>
      <c r="D177" s="154"/>
      <c r="E177" s="154"/>
      <c r="F177" s="154"/>
      <c r="G177" s="154"/>
      <c r="H177" s="154"/>
      <c r="I177" s="154"/>
      <c r="J177" s="154"/>
      <c r="K177" s="154"/>
      <c r="L177" s="154"/>
      <c r="M177" s="154"/>
      <c r="N177" s="154"/>
      <c r="O177" s="154"/>
      <c r="P177" s="154"/>
      <c r="Q177" s="154"/>
      <c r="R177" s="154"/>
      <c r="S177" s="154"/>
      <c r="T177" s="154"/>
      <c r="U177" s="154"/>
      <c r="V177" s="154"/>
      <c r="W177" s="154"/>
      <c r="X177" s="154"/>
      <c r="Y177" s="154"/>
      <c r="Z177" s="154"/>
    </row>
    <row r="178" spans="1:26" ht="14.25" customHeight="1">
      <c r="A178" s="154"/>
      <c r="B178" s="154"/>
      <c r="C178" s="154"/>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row>
    <row r="179" spans="1:26" ht="14.25" customHeight="1">
      <c r="A179" s="154"/>
      <c r="B179" s="154"/>
      <c r="C179" s="154"/>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row>
    <row r="180" spans="1:26" ht="14.25" customHeight="1">
      <c r="A180" s="154"/>
      <c r="B180" s="154"/>
      <c r="C180" s="154"/>
      <c r="D180" s="154"/>
      <c r="E180" s="154"/>
      <c r="F180" s="154"/>
      <c r="G180" s="154"/>
      <c r="H180" s="154"/>
      <c r="I180" s="154"/>
      <c r="J180" s="154"/>
      <c r="K180" s="154"/>
      <c r="L180" s="154"/>
      <c r="M180" s="154"/>
      <c r="N180" s="154"/>
      <c r="O180" s="154"/>
      <c r="P180" s="154"/>
      <c r="Q180" s="154"/>
      <c r="R180" s="154"/>
      <c r="S180" s="154"/>
      <c r="T180" s="154"/>
      <c r="U180" s="154"/>
      <c r="V180" s="154"/>
      <c r="W180" s="154"/>
      <c r="X180" s="154"/>
      <c r="Y180" s="154"/>
      <c r="Z180" s="154"/>
    </row>
    <row r="181" spans="1:26" ht="14.25" customHeight="1">
      <c r="A181" s="154"/>
      <c r="B181" s="154"/>
      <c r="C181" s="154"/>
      <c r="D181" s="154"/>
      <c r="E181" s="154"/>
      <c r="F181" s="154"/>
      <c r="G181" s="154"/>
      <c r="H181" s="154"/>
      <c r="I181" s="154"/>
      <c r="J181" s="154"/>
      <c r="K181" s="154"/>
      <c r="L181" s="154"/>
      <c r="M181" s="154"/>
      <c r="N181" s="154"/>
      <c r="O181" s="154"/>
      <c r="P181" s="154"/>
      <c r="Q181" s="154"/>
      <c r="R181" s="154"/>
      <c r="S181" s="154"/>
      <c r="T181" s="154"/>
      <c r="U181" s="154"/>
      <c r="V181" s="154"/>
      <c r="W181" s="154"/>
      <c r="X181" s="154"/>
      <c r="Y181" s="154"/>
      <c r="Z181" s="154"/>
    </row>
    <row r="182" spans="1:26" ht="14.25" customHeight="1">
      <c r="A182" s="154"/>
      <c r="B182" s="154"/>
      <c r="C182" s="154"/>
      <c r="D182" s="154"/>
      <c r="E182" s="154"/>
      <c r="F182" s="154"/>
      <c r="G182" s="154"/>
      <c r="H182" s="154"/>
      <c r="I182" s="154"/>
      <c r="J182" s="154"/>
      <c r="K182" s="154"/>
      <c r="L182" s="154"/>
      <c r="M182" s="154"/>
      <c r="N182" s="154"/>
      <c r="O182" s="154"/>
      <c r="P182" s="154"/>
      <c r="Q182" s="154"/>
      <c r="R182" s="154"/>
      <c r="S182" s="154"/>
      <c r="T182" s="154"/>
      <c r="U182" s="154"/>
      <c r="V182" s="154"/>
      <c r="W182" s="154"/>
      <c r="X182" s="154"/>
      <c r="Y182" s="154"/>
      <c r="Z182" s="154"/>
    </row>
    <row r="183" spans="1:26" ht="14.25" customHeight="1">
      <c r="A183" s="154"/>
      <c r="B183" s="154"/>
      <c r="C183" s="154"/>
      <c r="D183" s="154"/>
      <c r="E183" s="154"/>
      <c r="F183" s="154"/>
      <c r="G183" s="154"/>
      <c r="H183" s="154"/>
      <c r="I183" s="154"/>
      <c r="J183" s="154"/>
      <c r="K183" s="154"/>
      <c r="L183" s="154"/>
      <c r="M183" s="154"/>
      <c r="N183" s="154"/>
      <c r="O183" s="154"/>
      <c r="P183" s="154"/>
      <c r="Q183" s="154"/>
      <c r="R183" s="154"/>
      <c r="S183" s="154"/>
      <c r="T183" s="154"/>
      <c r="U183" s="154"/>
      <c r="V183" s="154"/>
      <c r="W183" s="154"/>
      <c r="X183" s="154"/>
      <c r="Y183" s="154"/>
      <c r="Z183" s="154"/>
    </row>
    <row r="184" spans="1:26" ht="14.25" customHeight="1">
      <c r="A184" s="154"/>
      <c r="B184" s="154"/>
      <c r="C184" s="154"/>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row>
    <row r="185" spans="1:26" ht="14.25" customHeight="1">
      <c r="A185" s="154"/>
      <c r="B185" s="154"/>
      <c r="C185" s="154"/>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row>
    <row r="186" spans="1:26" ht="14.25" customHeight="1">
      <c r="A186" s="154"/>
      <c r="B186" s="154"/>
      <c r="C186" s="154"/>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row>
    <row r="187" spans="1:26" ht="14.25" customHeight="1">
      <c r="A187" s="154"/>
      <c r="B187" s="154"/>
      <c r="C187" s="154"/>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row>
    <row r="188" spans="1:26" ht="14.25" customHeight="1">
      <c r="A188" s="154"/>
      <c r="B188" s="154"/>
      <c r="C188" s="154"/>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row>
    <row r="189" spans="1:26" ht="14.25" customHeight="1">
      <c r="A189" s="154"/>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row>
    <row r="190" spans="1:26" ht="14.25" customHeight="1">
      <c r="A190" s="154"/>
      <c r="B190" s="154"/>
      <c r="C190" s="154"/>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row>
    <row r="191" spans="1:26" ht="14.25" customHeight="1">
      <c r="A191" s="154"/>
      <c r="B191" s="154"/>
      <c r="C191" s="154"/>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row>
    <row r="192" spans="1:26" ht="14.25" customHeight="1">
      <c r="A192" s="154"/>
      <c r="B192" s="154"/>
      <c r="C192" s="154"/>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row>
    <row r="193" spans="1:26" ht="14.25" customHeight="1">
      <c r="A193" s="154"/>
      <c r="B193" s="154"/>
      <c r="C193" s="154"/>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row>
    <row r="194" spans="1:26" ht="14.25" customHeight="1">
      <c r="A194" s="154"/>
      <c r="B194" s="154"/>
      <c r="C194" s="154"/>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row>
    <row r="195" spans="1:26" ht="14.25" customHeight="1">
      <c r="A195" s="154"/>
      <c r="B195" s="154"/>
      <c r="C195" s="154"/>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row>
    <row r="196" spans="1:26" ht="14.25" customHeight="1">
      <c r="A196" s="154"/>
      <c r="B196" s="154"/>
      <c r="C196" s="154"/>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row>
    <row r="197" spans="1:26" ht="14.25" customHeight="1">
      <c r="A197" s="154"/>
      <c r="B197" s="154"/>
      <c r="C197" s="154"/>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row>
    <row r="198" spans="1:26" ht="14.25" customHeight="1">
      <c r="A198" s="154"/>
      <c r="B198" s="154"/>
      <c r="C198" s="154"/>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row>
    <row r="199" spans="1:26" ht="14.25" customHeight="1">
      <c r="A199" s="154"/>
      <c r="B199" s="154"/>
      <c r="C199" s="154"/>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row>
    <row r="200" spans="1:26" ht="14.25" customHeight="1">
      <c r="A200" s="154"/>
      <c r="B200" s="154"/>
      <c r="C200" s="154"/>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row>
    <row r="201" spans="1:26" ht="14.25" customHeight="1">
      <c r="A201" s="154"/>
      <c r="B201" s="154"/>
      <c r="C201" s="154"/>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row>
    <row r="202" spans="1:26" ht="14.25" customHeight="1">
      <c r="A202" s="154"/>
      <c r="B202" s="154"/>
      <c r="C202" s="154"/>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row>
    <row r="203" spans="1:26" ht="14.25" customHeight="1">
      <c r="A203" s="154"/>
      <c r="B203" s="154"/>
      <c r="C203" s="154"/>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row>
    <row r="204" spans="1:26" ht="14.25" customHeight="1">
      <c r="A204" s="154"/>
      <c r="B204" s="154"/>
      <c r="C204" s="154"/>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row>
    <row r="205" spans="1:26" ht="14.25" customHeight="1">
      <c r="A205" s="154"/>
      <c r="B205" s="154"/>
      <c r="C205" s="154"/>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row>
    <row r="206" spans="1:26" ht="14.25" customHeight="1">
      <c r="A206" s="154"/>
      <c r="B206" s="154"/>
      <c r="C206" s="154"/>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row>
    <row r="207" spans="1:26" ht="14.25" customHeight="1">
      <c r="A207" s="154"/>
      <c r="B207" s="154"/>
      <c r="C207" s="154"/>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row>
    <row r="208" spans="1:26" ht="14.25" customHeight="1">
      <c r="A208" s="154"/>
      <c r="B208" s="154"/>
      <c r="C208" s="154"/>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row>
    <row r="209" spans="1:26" ht="14.25" customHeight="1">
      <c r="A209" s="154"/>
      <c r="B209" s="154"/>
      <c r="C209" s="154"/>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row>
    <row r="210" spans="1:26" ht="14.25" customHeight="1">
      <c r="A210" s="154"/>
      <c r="B210" s="154"/>
      <c r="C210" s="154"/>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row>
    <row r="211" spans="1:26" ht="14.25" customHeight="1">
      <c r="A211" s="154"/>
      <c r="B211" s="154"/>
      <c r="C211" s="154"/>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row>
    <row r="212" spans="1:26" ht="14.25" customHeight="1">
      <c r="A212" s="154"/>
      <c r="B212" s="154"/>
      <c r="C212" s="154"/>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row>
    <row r="213" spans="1:26" ht="14.25" customHeight="1">
      <c r="A213" s="154"/>
      <c r="B213" s="154"/>
      <c r="C213" s="154"/>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row>
    <row r="214" spans="1:26" ht="14.25" customHeight="1">
      <c r="A214" s="154"/>
      <c r="B214" s="154"/>
      <c r="C214" s="154"/>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row>
    <row r="215" spans="1:26" ht="14.25" customHeight="1">
      <c r="A215" s="154"/>
      <c r="B215" s="154"/>
      <c r="C215" s="154"/>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row>
    <row r="216" spans="1:26" ht="14.25" customHeight="1">
      <c r="A216" s="154"/>
      <c r="B216" s="154"/>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row>
    <row r="217" spans="1:26" ht="14.25" customHeight="1">
      <c r="A217" s="154"/>
      <c r="B217" s="154"/>
      <c r="C217" s="154"/>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row>
    <row r="218" spans="1:26" ht="14.25" customHeight="1">
      <c r="A218" s="154"/>
      <c r="B218" s="154"/>
      <c r="C218" s="154"/>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row>
    <row r="219" spans="1:26" ht="14.25" customHeight="1">
      <c r="A219" s="154"/>
      <c r="B219" s="154"/>
      <c r="C219" s="154"/>
      <c r="D219" s="154"/>
      <c r="E219" s="154"/>
      <c r="F219" s="154"/>
      <c r="G219" s="154"/>
      <c r="H219" s="154"/>
      <c r="I219" s="154"/>
      <c r="J219" s="154"/>
      <c r="K219" s="154"/>
      <c r="L219" s="154"/>
      <c r="M219" s="154"/>
      <c r="N219" s="154"/>
      <c r="O219" s="154"/>
      <c r="P219" s="154"/>
      <c r="Q219" s="154"/>
      <c r="R219" s="154"/>
      <c r="S219" s="154"/>
      <c r="T219" s="154"/>
      <c r="U219" s="154"/>
      <c r="V219" s="154"/>
      <c r="W219" s="154"/>
      <c r="X219" s="154"/>
      <c r="Y219" s="154"/>
      <c r="Z219" s="154"/>
    </row>
    <row r="220" spans="1:26" ht="14.25" customHeight="1">
      <c r="A220" s="154"/>
      <c r="B220" s="154"/>
      <c r="C220" s="154"/>
      <c r="D220" s="154"/>
      <c r="E220" s="154"/>
      <c r="F220" s="154"/>
      <c r="G220" s="154"/>
      <c r="H220" s="154"/>
      <c r="I220" s="154"/>
      <c r="J220" s="154"/>
      <c r="K220" s="154"/>
      <c r="L220" s="154"/>
      <c r="M220" s="154"/>
      <c r="N220" s="154"/>
      <c r="O220" s="154"/>
      <c r="P220" s="154"/>
      <c r="Q220" s="154"/>
      <c r="R220" s="154"/>
      <c r="S220" s="154"/>
      <c r="T220" s="154"/>
      <c r="U220" s="154"/>
      <c r="V220" s="154"/>
      <c r="W220" s="154"/>
      <c r="X220" s="154"/>
      <c r="Y220" s="154"/>
      <c r="Z220" s="154"/>
    </row>
    <row r="221" spans="1:26" ht="14.25" customHeight="1">
      <c r="A221" s="154"/>
      <c r="B221" s="154"/>
      <c r="C221" s="154"/>
      <c r="D221" s="154"/>
      <c r="E221" s="154"/>
      <c r="F221" s="154"/>
      <c r="G221" s="154"/>
      <c r="H221" s="154"/>
      <c r="I221" s="154"/>
      <c r="J221" s="154"/>
      <c r="K221" s="154"/>
      <c r="L221" s="154"/>
      <c r="M221" s="154"/>
      <c r="N221" s="154"/>
      <c r="O221" s="154"/>
      <c r="P221" s="154"/>
      <c r="Q221" s="154"/>
      <c r="R221" s="154"/>
      <c r="S221" s="154"/>
      <c r="T221" s="154"/>
      <c r="U221" s="154"/>
      <c r="V221" s="154"/>
      <c r="W221" s="154"/>
      <c r="X221" s="154"/>
      <c r="Y221" s="154"/>
      <c r="Z221" s="154"/>
    </row>
    <row r="222" spans="1:26" ht="14.25" customHeight="1">
      <c r="A222" s="154"/>
      <c r="B222" s="154"/>
      <c r="C222" s="154"/>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row>
    <row r="223" spans="1:26" ht="14.25" customHeight="1">
      <c r="A223" s="154"/>
      <c r="B223" s="154"/>
      <c r="C223" s="154"/>
      <c r="D223" s="154"/>
      <c r="E223" s="154"/>
      <c r="F223" s="154"/>
      <c r="G223" s="154"/>
      <c r="H223" s="154"/>
      <c r="I223" s="154"/>
      <c r="J223" s="154"/>
      <c r="K223" s="154"/>
      <c r="L223" s="154"/>
      <c r="M223" s="154"/>
      <c r="N223" s="154"/>
      <c r="O223" s="154"/>
      <c r="P223" s="154"/>
      <c r="Q223" s="154"/>
      <c r="R223" s="154"/>
      <c r="S223" s="154"/>
      <c r="T223" s="154"/>
      <c r="U223" s="154"/>
      <c r="V223" s="154"/>
      <c r="W223" s="154"/>
      <c r="X223" s="154"/>
      <c r="Y223" s="154"/>
      <c r="Z223" s="154"/>
    </row>
    <row r="224" spans="1:26" ht="14.25" customHeight="1">
      <c r="A224" s="154"/>
      <c r="B224" s="154"/>
      <c r="C224" s="154"/>
      <c r="D224" s="154"/>
      <c r="E224" s="154"/>
      <c r="F224" s="154"/>
      <c r="G224" s="154"/>
      <c r="H224" s="154"/>
      <c r="I224" s="154"/>
      <c r="J224" s="154"/>
      <c r="K224" s="154"/>
      <c r="L224" s="154"/>
      <c r="M224" s="154"/>
      <c r="N224" s="154"/>
      <c r="O224" s="154"/>
      <c r="P224" s="154"/>
      <c r="Q224" s="154"/>
      <c r="R224" s="154"/>
      <c r="S224" s="154"/>
      <c r="T224" s="154"/>
      <c r="U224" s="154"/>
      <c r="V224" s="154"/>
      <c r="W224" s="154"/>
      <c r="X224" s="154"/>
      <c r="Y224" s="154"/>
      <c r="Z224" s="154"/>
    </row>
    <row r="225" spans="1:26" ht="14.25" customHeight="1">
      <c r="A225" s="154"/>
      <c r="B225" s="154"/>
      <c r="C225" s="154"/>
      <c r="D225" s="154"/>
      <c r="E225" s="154"/>
      <c r="F225" s="154"/>
      <c r="G225" s="154"/>
      <c r="H225" s="154"/>
      <c r="I225" s="154"/>
      <c r="J225" s="154"/>
      <c r="K225" s="154"/>
      <c r="L225" s="154"/>
      <c r="M225" s="154"/>
      <c r="N225" s="154"/>
      <c r="O225" s="154"/>
      <c r="P225" s="154"/>
      <c r="Q225" s="154"/>
      <c r="R225" s="154"/>
      <c r="S225" s="154"/>
      <c r="T225" s="154"/>
      <c r="U225" s="154"/>
      <c r="V225" s="154"/>
      <c r="W225" s="154"/>
      <c r="X225" s="154"/>
      <c r="Y225" s="154"/>
      <c r="Z225" s="154"/>
    </row>
    <row r="226" spans="1:26" ht="14.25" customHeight="1">
      <c r="A226" s="154"/>
      <c r="B226" s="154"/>
      <c r="C226" s="154"/>
      <c r="D226" s="154"/>
      <c r="E226" s="154"/>
      <c r="F226" s="154"/>
      <c r="G226" s="154"/>
      <c r="H226" s="154"/>
      <c r="I226" s="154"/>
      <c r="J226" s="154"/>
      <c r="K226" s="154"/>
      <c r="L226" s="154"/>
      <c r="M226" s="154"/>
      <c r="N226" s="154"/>
      <c r="O226" s="154"/>
      <c r="P226" s="154"/>
      <c r="Q226" s="154"/>
      <c r="R226" s="154"/>
      <c r="S226" s="154"/>
      <c r="T226" s="154"/>
      <c r="U226" s="154"/>
      <c r="V226" s="154"/>
      <c r="W226" s="154"/>
      <c r="X226" s="154"/>
      <c r="Y226" s="154"/>
      <c r="Z226" s="154"/>
    </row>
    <row r="227" spans="1:26" ht="14.25" customHeight="1">
      <c r="A227" s="154"/>
      <c r="B227" s="154"/>
      <c r="C227" s="154"/>
      <c r="D227" s="154"/>
      <c r="E227" s="154"/>
      <c r="F227" s="154"/>
      <c r="G227" s="154"/>
      <c r="H227" s="154"/>
      <c r="I227" s="154"/>
      <c r="J227" s="154"/>
      <c r="K227" s="154"/>
      <c r="L227" s="154"/>
      <c r="M227" s="154"/>
      <c r="N227" s="154"/>
      <c r="O227" s="154"/>
      <c r="P227" s="154"/>
      <c r="Q227" s="154"/>
      <c r="R227" s="154"/>
      <c r="S227" s="154"/>
      <c r="T227" s="154"/>
      <c r="U227" s="154"/>
      <c r="V227" s="154"/>
      <c r="W227" s="154"/>
      <c r="X227" s="154"/>
      <c r="Y227" s="154"/>
      <c r="Z227" s="154"/>
    </row>
    <row r="228" spans="1:26" ht="14.25" customHeight="1">
      <c r="A228" s="154"/>
      <c r="B228" s="154"/>
      <c r="C228" s="154"/>
      <c r="D228" s="154"/>
      <c r="E228" s="154"/>
      <c r="F228" s="154"/>
      <c r="G228" s="154"/>
      <c r="H228" s="154"/>
      <c r="I228" s="154"/>
      <c r="J228" s="154"/>
      <c r="K228" s="154"/>
      <c r="L228" s="154"/>
      <c r="M228" s="154"/>
      <c r="N228" s="154"/>
      <c r="O228" s="154"/>
      <c r="P228" s="154"/>
      <c r="Q228" s="154"/>
      <c r="R228" s="154"/>
      <c r="S228" s="154"/>
      <c r="T228" s="154"/>
      <c r="U228" s="154"/>
      <c r="V228" s="154"/>
      <c r="W228" s="154"/>
      <c r="X228" s="154"/>
      <c r="Y228" s="154"/>
      <c r="Z228" s="154"/>
    </row>
    <row r="229" spans="1:26" ht="14.25" customHeight="1">
      <c r="A229" s="154"/>
      <c r="B229" s="154"/>
      <c r="C229" s="154"/>
      <c r="D229" s="154"/>
      <c r="E229" s="154"/>
      <c r="F229" s="154"/>
      <c r="G229" s="154"/>
      <c r="H229" s="154"/>
      <c r="I229" s="154"/>
      <c r="J229" s="154"/>
      <c r="K229" s="154"/>
      <c r="L229" s="154"/>
      <c r="M229" s="154"/>
      <c r="N229" s="154"/>
      <c r="O229" s="154"/>
      <c r="P229" s="154"/>
      <c r="Q229" s="154"/>
      <c r="R229" s="154"/>
      <c r="S229" s="154"/>
      <c r="T229" s="154"/>
      <c r="U229" s="154"/>
      <c r="V229" s="154"/>
      <c r="W229" s="154"/>
      <c r="X229" s="154"/>
      <c r="Y229" s="154"/>
      <c r="Z229" s="154"/>
    </row>
    <row r="230" spans="1:26" ht="14.25" customHeight="1">
      <c r="A230" s="154"/>
      <c r="B230" s="154"/>
      <c r="C230" s="154"/>
      <c r="D230" s="154"/>
      <c r="E230" s="154"/>
      <c r="F230" s="154"/>
      <c r="G230" s="154"/>
      <c r="H230" s="154"/>
      <c r="I230" s="154"/>
      <c r="J230" s="154"/>
      <c r="K230" s="154"/>
      <c r="L230" s="154"/>
      <c r="M230" s="154"/>
      <c r="N230" s="154"/>
      <c r="O230" s="154"/>
      <c r="P230" s="154"/>
      <c r="Q230" s="154"/>
      <c r="R230" s="154"/>
      <c r="S230" s="154"/>
      <c r="T230" s="154"/>
      <c r="U230" s="154"/>
      <c r="V230" s="154"/>
      <c r="W230" s="154"/>
      <c r="X230" s="154"/>
      <c r="Y230" s="154"/>
      <c r="Z230" s="154"/>
    </row>
    <row r="231" spans="1:26" ht="14.25" customHeight="1">
      <c r="A231" s="154"/>
      <c r="B231" s="154"/>
      <c r="C231" s="154"/>
      <c r="D231" s="154"/>
      <c r="E231" s="154"/>
      <c r="F231" s="154"/>
      <c r="G231" s="154"/>
      <c r="H231" s="154"/>
      <c r="I231" s="154"/>
      <c r="J231" s="154"/>
      <c r="K231" s="154"/>
      <c r="L231" s="154"/>
      <c r="M231" s="154"/>
      <c r="N231" s="154"/>
      <c r="O231" s="154"/>
      <c r="P231" s="154"/>
      <c r="Q231" s="154"/>
      <c r="R231" s="154"/>
      <c r="S231" s="154"/>
      <c r="T231" s="154"/>
      <c r="U231" s="154"/>
      <c r="V231" s="154"/>
      <c r="W231" s="154"/>
      <c r="X231" s="154"/>
      <c r="Y231" s="154"/>
      <c r="Z231" s="154"/>
    </row>
    <row r="232" spans="1:26" ht="14.25" customHeight="1">
      <c r="A232" s="154"/>
      <c r="B232" s="154"/>
      <c r="C232" s="154"/>
      <c r="D232" s="154"/>
      <c r="E232" s="154"/>
      <c r="F232" s="154"/>
      <c r="G232" s="154"/>
      <c r="H232" s="154"/>
      <c r="I232" s="154"/>
      <c r="J232" s="154"/>
      <c r="K232" s="154"/>
      <c r="L232" s="154"/>
      <c r="M232" s="154"/>
      <c r="N232" s="154"/>
      <c r="O232" s="154"/>
      <c r="P232" s="154"/>
      <c r="Q232" s="154"/>
      <c r="R232" s="154"/>
      <c r="S232" s="154"/>
      <c r="T232" s="154"/>
      <c r="U232" s="154"/>
      <c r="V232" s="154"/>
      <c r="W232" s="154"/>
      <c r="X232" s="154"/>
      <c r="Y232" s="154"/>
      <c r="Z232" s="154"/>
    </row>
    <row r="233" spans="1:26" ht="14.25" customHeight="1">
      <c r="A233" s="154"/>
      <c r="B233" s="154"/>
      <c r="C233" s="154"/>
      <c r="D233" s="154"/>
      <c r="E233" s="154"/>
      <c r="F233" s="154"/>
      <c r="G233" s="154"/>
      <c r="H233" s="154"/>
      <c r="I233" s="154"/>
      <c r="J233" s="154"/>
      <c r="K233" s="154"/>
      <c r="L233" s="154"/>
      <c r="M233" s="154"/>
      <c r="N233" s="154"/>
      <c r="O233" s="154"/>
      <c r="P233" s="154"/>
      <c r="Q233" s="154"/>
      <c r="R233" s="154"/>
      <c r="S233" s="154"/>
      <c r="T233" s="154"/>
      <c r="U233" s="154"/>
      <c r="V233" s="154"/>
      <c r="W233" s="154"/>
      <c r="X233" s="154"/>
      <c r="Y233" s="154"/>
      <c r="Z233" s="154"/>
    </row>
    <row r="234" spans="1:26" ht="14.25" customHeight="1">
      <c r="A234" s="154"/>
      <c r="B234" s="154"/>
      <c r="C234" s="154"/>
      <c r="D234" s="154"/>
      <c r="E234" s="154"/>
      <c r="F234" s="154"/>
      <c r="G234" s="154"/>
      <c r="H234" s="154"/>
      <c r="I234" s="154"/>
      <c r="J234" s="154"/>
      <c r="K234" s="154"/>
      <c r="L234" s="154"/>
      <c r="M234" s="154"/>
      <c r="N234" s="154"/>
      <c r="O234" s="154"/>
      <c r="P234" s="154"/>
      <c r="Q234" s="154"/>
      <c r="R234" s="154"/>
      <c r="S234" s="154"/>
      <c r="T234" s="154"/>
      <c r="U234" s="154"/>
      <c r="V234" s="154"/>
      <c r="W234" s="154"/>
      <c r="X234" s="154"/>
      <c r="Y234" s="154"/>
      <c r="Z234" s="154"/>
    </row>
    <row r="235" spans="1:26" ht="14.25" customHeight="1">
      <c r="A235" s="154"/>
      <c r="B235" s="154"/>
      <c r="C235" s="154"/>
      <c r="D235" s="154"/>
      <c r="E235" s="154"/>
      <c r="F235" s="154"/>
      <c r="G235" s="154"/>
      <c r="H235" s="154"/>
      <c r="I235" s="154"/>
      <c r="J235" s="154"/>
      <c r="K235" s="154"/>
      <c r="L235" s="154"/>
      <c r="M235" s="154"/>
      <c r="N235" s="154"/>
      <c r="O235" s="154"/>
      <c r="P235" s="154"/>
      <c r="Q235" s="154"/>
      <c r="R235" s="154"/>
      <c r="S235" s="154"/>
      <c r="T235" s="154"/>
      <c r="U235" s="154"/>
      <c r="V235" s="154"/>
      <c r="W235" s="154"/>
      <c r="X235" s="154"/>
      <c r="Y235" s="154"/>
      <c r="Z235" s="154"/>
    </row>
    <row r="236" spans="1:26" ht="14.25" customHeight="1">
      <c r="A236" s="154"/>
      <c r="B236" s="154"/>
      <c r="C236" s="154"/>
      <c r="D236" s="154"/>
      <c r="E236" s="154"/>
      <c r="F236" s="154"/>
      <c r="G236" s="154"/>
      <c r="H236" s="154"/>
      <c r="I236" s="154"/>
      <c r="J236" s="154"/>
      <c r="K236" s="154"/>
      <c r="L236" s="154"/>
      <c r="M236" s="154"/>
      <c r="N236" s="154"/>
      <c r="O236" s="154"/>
      <c r="P236" s="154"/>
      <c r="Q236" s="154"/>
      <c r="R236" s="154"/>
      <c r="S236" s="154"/>
      <c r="T236" s="154"/>
      <c r="U236" s="154"/>
      <c r="V236" s="154"/>
      <c r="W236" s="154"/>
      <c r="X236" s="154"/>
      <c r="Y236" s="154"/>
      <c r="Z236" s="154"/>
    </row>
    <row r="237" spans="1:26" ht="14.25" customHeight="1">
      <c r="A237" s="154"/>
      <c r="B237" s="154"/>
      <c r="C237" s="154"/>
      <c r="D237" s="154"/>
      <c r="E237" s="154"/>
      <c r="F237" s="154"/>
      <c r="G237" s="154"/>
      <c r="H237" s="154"/>
      <c r="I237" s="154"/>
      <c r="J237" s="154"/>
      <c r="K237" s="154"/>
      <c r="L237" s="154"/>
      <c r="M237" s="154"/>
      <c r="N237" s="154"/>
      <c r="O237" s="154"/>
      <c r="P237" s="154"/>
      <c r="Q237" s="154"/>
      <c r="R237" s="154"/>
      <c r="S237" s="154"/>
      <c r="T237" s="154"/>
      <c r="U237" s="154"/>
      <c r="V237" s="154"/>
      <c r="W237" s="154"/>
      <c r="X237" s="154"/>
      <c r="Y237" s="154"/>
      <c r="Z237" s="154"/>
    </row>
    <row r="238" spans="1:26" ht="14.25" customHeight="1">
      <c r="A238" s="154"/>
      <c r="B238" s="154"/>
      <c r="C238" s="154"/>
      <c r="D238" s="154"/>
      <c r="E238" s="154"/>
      <c r="F238" s="154"/>
      <c r="G238" s="154"/>
      <c r="H238" s="154"/>
      <c r="I238" s="154"/>
      <c r="J238" s="154"/>
      <c r="K238" s="154"/>
      <c r="L238" s="154"/>
      <c r="M238" s="154"/>
      <c r="N238" s="154"/>
      <c r="O238" s="154"/>
      <c r="P238" s="154"/>
      <c r="Q238" s="154"/>
      <c r="R238" s="154"/>
      <c r="S238" s="154"/>
      <c r="T238" s="154"/>
      <c r="U238" s="154"/>
      <c r="V238" s="154"/>
      <c r="W238" s="154"/>
      <c r="X238" s="154"/>
      <c r="Y238" s="154"/>
      <c r="Z238" s="154"/>
    </row>
    <row r="239" spans="1:26" ht="14.25" customHeight="1">
      <c r="A239" s="154"/>
      <c r="B239" s="154"/>
      <c r="C239" s="154"/>
      <c r="D239" s="154"/>
      <c r="E239" s="154"/>
      <c r="F239" s="154"/>
      <c r="G239" s="154"/>
      <c r="H239" s="154"/>
      <c r="I239" s="154"/>
      <c r="J239" s="154"/>
      <c r="K239" s="154"/>
      <c r="L239" s="154"/>
      <c r="M239" s="154"/>
      <c r="N239" s="154"/>
      <c r="O239" s="154"/>
      <c r="P239" s="154"/>
      <c r="Q239" s="154"/>
      <c r="R239" s="154"/>
      <c r="S239" s="154"/>
      <c r="T239" s="154"/>
      <c r="U239" s="154"/>
      <c r="V239" s="154"/>
      <c r="W239" s="154"/>
      <c r="X239" s="154"/>
      <c r="Y239" s="154"/>
      <c r="Z239" s="154"/>
    </row>
    <row r="240" spans="1:26" ht="14.25" customHeight="1">
      <c r="A240" s="154"/>
      <c r="B240" s="154"/>
      <c r="C240" s="154"/>
      <c r="D240" s="154"/>
      <c r="E240" s="154"/>
      <c r="F240" s="154"/>
      <c r="G240" s="154"/>
      <c r="H240" s="154"/>
      <c r="I240" s="154"/>
      <c r="J240" s="154"/>
      <c r="K240" s="154"/>
      <c r="L240" s="154"/>
      <c r="M240" s="154"/>
      <c r="N240" s="154"/>
      <c r="O240" s="154"/>
      <c r="P240" s="154"/>
      <c r="Q240" s="154"/>
      <c r="R240" s="154"/>
      <c r="S240" s="154"/>
      <c r="T240" s="154"/>
      <c r="U240" s="154"/>
      <c r="V240" s="154"/>
      <c r="W240" s="154"/>
      <c r="X240" s="154"/>
      <c r="Y240" s="154"/>
      <c r="Z240" s="154"/>
    </row>
    <row r="241" spans="1:26" ht="14.25" customHeight="1">
      <c r="A241" s="154"/>
      <c r="B241" s="154"/>
      <c r="C241" s="154"/>
      <c r="D241" s="154"/>
      <c r="E241" s="154"/>
      <c r="F241" s="154"/>
      <c r="G241" s="154"/>
      <c r="H241" s="154"/>
      <c r="I241" s="154"/>
      <c r="J241" s="154"/>
      <c r="K241" s="154"/>
      <c r="L241" s="154"/>
      <c r="M241" s="154"/>
      <c r="N241" s="154"/>
      <c r="O241" s="154"/>
      <c r="P241" s="154"/>
      <c r="Q241" s="154"/>
      <c r="R241" s="154"/>
      <c r="S241" s="154"/>
      <c r="T241" s="154"/>
      <c r="U241" s="154"/>
      <c r="V241" s="154"/>
      <c r="W241" s="154"/>
      <c r="X241" s="154"/>
      <c r="Y241" s="154"/>
      <c r="Z241" s="154"/>
    </row>
    <row r="242" spans="1:26" ht="14.25" customHeight="1">
      <c r="A242" s="154"/>
      <c r="B242" s="154"/>
      <c r="C242" s="154"/>
      <c r="D242" s="154"/>
      <c r="E242" s="154"/>
      <c r="F242" s="154"/>
      <c r="G242" s="154"/>
      <c r="H242" s="154"/>
      <c r="I242" s="154"/>
      <c r="J242" s="154"/>
      <c r="K242" s="154"/>
      <c r="L242" s="154"/>
      <c r="M242" s="154"/>
      <c r="N242" s="154"/>
      <c r="O242" s="154"/>
      <c r="P242" s="154"/>
      <c r="Q242" s="154"/>
      <c r="R242" s="154"/>
      <c r="S242" s="154"/>
      <c r="T242" s="154"/>
      <c r="U242" s="154"/>
      <c r="V242" s="154"/>
      <c r="W242" s="154"/>
      <c r="X242" s="154"/>
      <c r="Y242" s="154"/>
      <c r="Z242" s="154"/>
    </row>
    <row r="243" spans="1:26" ht="14.25" customHeight="1">
      <c r="A243" s="154"/>
      <c r="B243" s="154"/>
      <c r="C243" s="154"/>
      <c r="D243" s="154"/>
      <c r="E243" s="154"/>
      <c r="F243" s="154"/>
      <c r="G243" s="154"/>
      <c r="H243" s="154"/>
      <c r="I243" s="154"/>
      <c r="J243" s="154"/>
      <c r="K243" s="154"/>
      <c r="L243" s="154"/>
      <c r="M243" s="154"/>
      <c r="N243" s="154"/>
      <c r="O243" s="154"/>
      <c r="P243" s="154"/>
      <c r="Q243" s="154"/>
      <c r="R243" s="154"/>
      <c r="S243" s="154"/>
      <c r="T243" s="154"/>
      <c r="U243" s="154"/>
      <c r="V243" s="154"/>
      <c r="W243" s="154"/>
      <c r="X243" s="154"/>
      <c r="Y243" s="154"/>
      <c r="Z243" s="154"/>
    </row>
    <row r="244" spans="1:26" ht="14.25" customHeight="1"/>
    <row r="245" spans="1:26" ht="14.25" customHeight="1"/>
    <row r="246" spans="1:26" ht="14.25" customHeight="1"/>
    <row r="247" spans="1:26" ht="14.25" customHeight="1"/>
    <row r="248" spans="1:26" ht="14.25" customHeight="1"/>
    <row r="249" spans="1:26" ht="14.25" customHeight="1"/>
    <row r="250" spans="1:26" ht="14.25" customHeight="1"/>
    <row r="251" spans="1:26" ht="14.25" customHeight="1"/>
    <row r="252" spans="1:26" ht="14.25" customHeight="1"/>
    <row r="253" spans="1:26" ht="14.25" customHeight="1"/>
    <row r="254" spans="1:26" ht="14.25" customHeight="1"/>
    <row r="255" spans="1:26" ht="14.25" customHeight="1"/>
    <row r="256" spans="1:2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3">
    <mergeCell ref="A59:D60"/>
    <mergeCell ref="A2:H2"/>
    <mergeCell ref="E4:G4"/>
    <mergeCell ref="A18:G18"/>
    <mergeCell ref="A29:G29"/>
    <mergeCell ref="A36:G36"/>
    <mergeCell ref="A47:D47"/>
    <mergeCell ref="A48:D48"/>
    <mergeCell ref="A49:D50"/>
    <mergeCell ref="A51:D52"/>
    <mergeCell ref="A53:D54"/>
    <mergeCell ref="A55:D56"/>
    <mergeCell ref="A57:D58"/>
  </mergeCell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D108"/>
  <sheetViews>
    <sheetView showGridLines="0" workbookViewId="0">
      <selection sqref="A1:C1"/>
    </sheetView>
  </sheetViews>
  <sheetFormatPr defaultColWidth="12.6640625" defaultRowHeight="15.75" customHeight="1"/>
  <cols>
    <col min="1" max="1" width="58.44140625" customWidth="1"/>
    <col min="2" max="2" width="64.21875" customWidth="1"/>
    <col min="3" max="3" width="40.77734375" customWidth="1"/>
  </cols>
  <sheetData>
    <row r="1" spans="1:3" ht="15.75" customHeight="1">
      <c r="A1" s="291" t="s">
        <v>351</v>
      </c>
      <c r="B1" s="250"/>
      <c r="C1" s="250"/>
    </row>
    <row r="3" spans="1:3" ht="15.75" customHeight="1">
      <c r="A3" s="194"/>
    </row>
    <row r="4" spans="1:3" ht="15.75" customHeight="1">
      <c r="A4" s="292" t="s">
        <v>177</v>
      </c>
      <c r="B4" s="293"/>
      <c r="C4" s="294"/>
    </row>
    <row r="5" spans="1:3">
      <c r="A5" s="199" t="s">
        <v>354</v>
      </c>
      <c r="B5" s="199" t="s">
        <v>355</v>
      </c>
      <c r="C5" s="199" t="s">
        <v>356</v>
      </c>
    </row>
    <row r="6" spans="1:3">
      <c r="A6" s="201" t="s">
        <v>357</v>
      </c>
      <c r="B6" s="201" t="s">
        <v>358</v>
      </c>
      <c r="C6" s="202">
        <v>1</v>
      </c>
    </row>
    <row r="7" spans="1:3">
      <c r="A7" s="201" t="s">
        <v>359</v>
      </c>
      <c r="B7" s="201" t="s">
        <v>360</v>
      </c>
      <c r="C7" s="202">
        <v>1</v>
      </c>
    </row>
    <row r="8" spans="1:3">
      <c r="A8" s="201" t="s">
        <v>361</v>
      </c>
      <c r="B8" s="201" t="s">
        <v>362</v>
      </c>
      <c r="C8" s="202">
        <v>0</v>
      </c>
    </row>
    <row r="9" spans="1:3">
      <c r="A9" s="201" t="s">
        <v>363</v>
      </c>
      <c r="B9" s="201" t="s">
        <v>364</v>
      </c>
      <c r="C9" s="202">
        <v>1</v>
      </c>
    </row>
    <row r="10" spans="1:3">
      <c r="A10" s="201" t="s">
        <v>365</v>
      </c>
      <c r="B10" s="201" t="s">
        <v>366</v>
      </c>
      <c r="C10" s="202">
        <v>1</v>
      </c>
    </row>
    <row r="11" spans="1:3">
      <c r="A11" s="201" t="s">
        <v>367</v>
      </c>
      <c r="B11" s="201" t="s">
        <v>368</v>
      </c>
      <c r="C11" s="202">
        <v>1</v>
      </c>
    </row>
    <row r="12" spans="1:3">
      <c r="A12" s="201" t="s">
        <v>369</v>
      </c>
      <c r="B12" s="201" t="s">
        <v>370</v>
      </c>
      <c r="C12" s="202">
        <v>0</v>
      </c>
    </row>
    <row r="13" spans="1:3">
      <c r="A13" s="201" t="s">
        <v>372</v>
      </c>
      <c r="B13" s="201" t="s">
        <v>373</v>
      </c>
      <c r="C13" s="202">
        <v>0</v>
      </c>
    </row>
    <row r="14" spans="1:3">
      <c r="A14" s="201" t="s">
        <v>374</v>
      </c>
      <c r="B14" s="201" t="s">
        <v>375</v>
      </c>
      <c r="C14" s="202">
        <v>1</v>
      </c>
    </row>
    <row r="16" spans="1:3" ht="15.75" customHeight="1">
      <c r="A16" s="295" t="s">
        <v>376</v>
      </c>
      <c r="B16" s="250"/>
      <c r="C16" s="250"/>
    </row>
    <row r="17" spans="1:3" ht="15.75" customHeight="1">
      <c r="A17" s="207"/>
      <c r="B17" s="208"/>
      <c r="C17" s="208"/>
    </row>
    <row r="18" spans="1:3">
      <c r="A18" s="209"/>
      <c r="B18" s="209"/>
      <c r="C18" s="209"/>
    </row>
    <row r="19" spans="1:3" ht="15.75" customHeight="1">
      <c r="A19" s="292" t="s">
        <v>179</v>
      </c>
      <c r="B19" s="293"/>
      <c r="C19" s="294"/>
    </row>
    <row r="20" spans="1:3">
      <c r="A20" s="211"/>
      <c r="B20" s="211"/>
      <c r="C20" s="211"/>
    </row>
    <row r="21" spans="1:3">
      <c r="A21" s="199" t="s">
        <v>354</v>
      </c>
      <c r="B21" s="199" t="s">
        <v>355</v>
      </c>
      <c r="C21" s="199" t="s">
        <v>356</v>
      </c>
    </row>
    <row r="22" spans="1:3">
      <c r="A22" s="201" t="s">
        <v>357</v>
      </c>
      <c r="B22" s="201" t="s">
        <v>381</v>
      </c>
      <c r="C22" s="202">
        <v>1</v>
      </c>
    </row>
    <row r="23" spans="1:3">
      <c r="A23" s="201" t="s">
        <v>359</v>
      </c>
      <c r="B23" s="201" t="s">
        <v>382</v>
      </c>
      <c r="C23" s="202">
        <v>1</v>
      </c>
    </row>
    <row r="24" spans="1:3">
      <c r="A24" s="201" t="s">
        <v>361</v>
      </c>
      <c r="B24" s="201" t="s">
        <v>383</v>
      </c>
      <c r="C24" s="202">
        <v>1</v>
      </c>
    </row>
    <row r="25" spans="1:3">
      <c r="A25" s="201" t="s">
        <v>363</v>
      </c>
      <c r="B25" s="201" t="s">
        <v>384</v>
      </c>
      <c r="C25" s="202">
        <v>1</v>
      </c>
    </row>
    <row r="26" spans="1:3">
      <c r="A26" s="201" t="s">
        <v>365</v>
      </c>
      <c r="B26" s="201" t="s">
        <v>387</v>
      </c>
      <c r="C26" s="202">
        <v>0</v>
      </c>
    </row>
    <row r="27" spans="1:3">
      <c r="A27" s="201" t="s">
        <v>367</v>
      </c>
      <c r="B27" s="201" t="s">
        <v>388</v>
      </c>
      <c r="C27" s="202">
        <v>1</v>
      </c>
    </row>
    <row r="28" spans="1:3">
      <c r="A28" s="201" t="s">
        <v>369</v>
      </c>
      <c r="B28" s="201" t="s">
        <v>389</v>
      </c>
      <c r="C28" s="202">
        <v>1</v>
      </c>
    </row>
    <row r="29" spans="1:3">
      <c r="A29" s="201" t="s">
        <v>372</v>
      </c>
      <c r="B29" s="201" t="s">
        <v>391</v>
      </c>
      <c r="C29" s="202">
        <v>0</v>
      </c>
    </row>
    <row r="30" spans="1:3">
      <c r="A30" s="201" t="s">
        <v>374</v>
      </c>
      <c r="B30" s="201" t="s">
        <v>393</v>
      </c>
      <c r="C30" s="202">
        <v>1</v>
      </c>
    </row>
    <row r="32" spans="1:3" ht="15.75" customHeight="1">
      <c r="A32" s="295" t="s">
        <v>395</v>
      </c>
      <c r="B32" s="250"/>
      <c r="C32" s="250"/>
    </row>
    <row r="33" spans="1:3" ht="15.75" customHeight="1">
      <c r="A33" s="207"/>
      <c r="B33" s="208"/>
      <c r="C33" s="208"/>
    </row>
    <row r="35" spans="1:3" ht="16.8">
      <c r="A35" s="292" t="s">
        <v>180</v>
      </c>
      <c r="B35" s="293"/>
      <c r="C35" s="294"/>
    </row>
    <row r="36" spans="1:3" ht="13.2">
      <c r="A36" s="211"/>
      <c r="B36" s="211"/>
      <c r="C36" s="211"/>
    </row>
    <row r="37" spans="1:3" ht="13.2">
      <c r="A37" s="199" t="s">
        <v>354</v>
      </c>
      <c r="B37" s="199" t="s">
        <v>355</v>
      </c>
      <c r="C37" s="199" t="s">
        <v>356</v>
      </c>
    </row>
    <row r="38" spans="1:3" ht="13.2">
      <c r="A38" s="201" t="s">
        <v>357</v>
      </c>
      <c r="B38" s="201" t="s">
        <v>399</v>
      </c>
      <c r="C38" s="202">
        <v>1</v>
      </c>
    </row>
    <row r="39" spans="1:3" ht="13.2">
      <c r="A39" s="201" t="s">
        <v>359</v>
      </c>
      <c r="B39" s="201" t="s">
        <v>400</v>
      </c>
      <c r="C39" s="202">
        <v>1</v>
      </c>
    </row>
    <row r="40" spans="1:3" ht="13.2">
      <c r="A40" s="201" t="s">
        <v>361</v>
      </c>
      <c r="B40" s="201" t="s">
        <v>401</v>
      </c>
      <c r="C40" s="202">
        <v>1</v>
      </c>
    </row>
    <row r="41" spans="1:3" ht="13.2">
      <c r="A41" s="201" t="s">
        <v>363</v>
      </c>
      <c r="B41" s="201" t="s">
        <v>402</v>
      </c>
      <c r="C41" s="202">
        <v>0</v>
      </c>
    </row>
    <row r="42" spans="1:3" ht="13.2">
      <c r="A42" s="201" t="s">
        <v>365</v>
      </c>
      <c r="B42" s="201" t="s">
        <v>404</v>
      </c>
      <c r="C42" s="202">
        <v>0</v>
      </c>
    </row>
    <row r="43" spans="1:3" ht="13.2">
      <c r="A43" s="201" t="s">
        <v>367</v>
      </c>
      <c r="B43" s="201" t="s">
        <v>407</v>
      </c>
      <c r="C43" s="202">
        <v>1</v>
      </c>
    </row>
    <row r="44" spans="1:3" ht="13.2">
      <c r="A44" s="201" t="s">
        <v>369</v>
      </c>
      <c r="B44" s="201" t="s">
        <v>389</v>
      </c>
      <c r="C44" s="202">
        <v>1</v>
      </c>
    </row>
    <row r="45" spans="1:3" ht="13.2">
      <c r="A45" s="201" t="s">
        <v>372</v>
      </c>
      <c r="B45" s="201" t="s">
        <v>408</v>
      </c>
      <c r="C45" s="202">
        <v>0</v>
      </c>
    </row>
    <row r="46" spans="1:3" ht="13.2">
      <c r="A46" s="201" t="s">
        <v>374</v>
      </c>
      <c r="B46" s="201" t="s">
        <v>409</v>
      </c>
      <c r="C46" s="202">
        <v>1</v>
      </c>
    </row>
    <row r="48" spans="1:3" ht="17.399999999999999">
      <c r="A48" s="295" t="s">
        <v>410</v>
      </c>
      <c r="B48" s="250"/>
      <c r="C48" s="250"/>
    </row>
    <row r="49" spans="1:3" ht="13.8">
      <c r="A49" s="213"/>
      <c r="B49" s="208"/>
      <c r="C49" s="208"/>
    </row>
    <row r="51" spans="1:3" ht="16.8">
      <c r="A51" s="292" t="s">
        <v>6</v>
      </c>
      <c r="B51" s="293"/>
      <c r="C51" s="294"/>
    </row>
    <row r="52" spans="1:3" ht="13.2">
      <c r="A52" s="211"/>
      <c r="B52" s="211"/>
      <c r="C52" s="211"/>
    </row>
    <row r="53" spans="1:3" ht="13.2">
      <c r="A53" s="199" t="s">
        <v>354</v>
      </c>
      <c r="B53" s="199" t="s">
        <v>355</v>
      </c>
      <c r="C53" s="199" t="s">
        <v>356</v>
      </c>
    </row>
    <row r="54" spans="1:3" ht="13.2">
      <c r="A54" s="201" t="s">
        <v>357</v>
      </c>
      <c r="B54" s="201" t="s">
        <v>417</v>
      </c>
      <c r="C54" s="202">
        <v>1</v>
      </c>
    </row>
    <row r="55" spans="1:3" ht="13.2">
      <c r="A55" s="201" t="s">
        <v>359</v>
      </c>
      <c r="B55" s="201" t="s">
        <v>418</v>
      </c>
      <c r="C55" s="202">
        <v>1</v>
      </c>
    </row>
    <row r="56" spans="1:3" ht="13.2">
      <c r="A56" s="201" t="s">
        <v>361</v>
      </c>
      <c r="B56" s="201" t="s">
        <v>421</v>
      </c>
      <c r="C56" s="202">
        <v>0</v>
      </c>
    </row>
    <row r="57" spans="1:3" ht="13.2">
      <c r="A57" s="201" t="s">
        <v>363</v>
      </c>
      <c r="B57" s="201" t="s">
        <v>423</v>
      </c>
      <c r="C57" s="202">
        <v>1</v>
      </c>
    </row>
    <row r="58" spans="1:3" ht="13.2">
      <c r="A58" s="201" t="s">
        <v>365</v>
      </c>
      <c r="B58" s="201" t="s">
        <v>424</v>
      </c>
      <c r="C58" s="202">
        <v>0</v>
      </c>
    </row>
    <row r="59" spans="1:3" ht="13.2">
      <c r="A59" s="201" t="s">
        <v>367</v>
      </c>
      <c r="B59" s="201" t="s">
        <v>425</v>
      </c>
      <c r="C59" s="202">
        <v>1</v>
      </c>
    </row>
    <row r="60" spans="1:3" ht="13.2">
      <c r="A60" s="201" t="s">
        <v>369</v>
      </c>
      <c r="B60" s="201" t="s">
        <v>389</v>
      </c>
      <c r="C60" s="202">
        <v>1</v>
      </c>
    </row>
    <row r="61" spans="1:3" ht="13.2">
      <c r="A61" s="201" t="s">
        <v>372</v>
      </c>
      <c r="B61" s="201" t="s">
        <v>426</v>
      </c>
      <c r="C61" s="202">
        <v>1</v>
      </c>
    </row>
    <row r="62" spans="1:3" ht="13.2">
      <c r="A62" s="201" t="s">
        <v>374</v>
      </c>
      <c r="B62" s="201" t="s">
        <v>429</v>
      </c>
      <c r="C62" s="202">
        <v>0</v>
      </c>
    </row>
    <row r="64" spans="1:3" ht="17.399999999999999">
      <c r="A64" s="295" t="s">
        <v>431</v>
      </c>
      <c r="B64" s="250"/>
      <c r="C64" s="250"/>
    </row>
    <row r="65" spans="1:3" ht="13.2">
      <c r="A65" s="208"/>
      <c r="B65" s="208"/>
      <c r="C65" s="208"/>
    </row>
    <row r="67" spans="1:3" ht="16.8">
      <c r="A67" s="292" t="s">
        <v>7</v>
      </c>
      <c r="B67" s="293"/>
      <c r="C67" s="294"/>
    </row>
    <row r="68" spans="1:3" ht="13.2">
      <c r="A68" s="211"/>
      <c r="B68" s="214"/>
      <c r="C68" s="211"/>
    </row>
    <row r="69" spans="1:3" ht="13.2">
      <c r="A69" s="199" t="s">
        <v>354</v>
      </c>
      <c r="B69" s="199" t="s">
        <v>355</v>
      </c>
      <c r="C69" s="199" t="s">
        <v>356</v>
      </c>
    </row>
    <row r="70" spans="1:3" ht="13.2">
      <c r="A70" s="201" t="s">
        <v>357</v>
      </c>
      <c r="B70" s="201" t="s">
        <v>435</v>
      </c>
      <c r="C70" s="202">
        <v>1</v>
      </c>
    </row>
    <row r="71" spans="1:3" ht="13.2">
      <c r="A71" s="201" t="s">
        <v>359</v>
      </c>
      <c r="B71" s="201" t="s">
        <v>442</v>
      </c>
      <c r="C71" s="202">
        <v>1</v>
      </c>
    </row>
    <row r="72" spans="1:3" ht="13.2">
      <c r="A72" s="201" t="s">
        <v>361</v>
      </c>
      <c r="B72" s="201" t="s">
        <v>443</v>
      </c>
      <c r="C72" s="202">
        <v>1</v>
      </c>
    </row>
    <row r="73" spans="1:3" ht="13.2">
      <c r="A73" s="201" t="s">
        <v>363</v>
      </c>
      <c r="B73" s="201" t="s">
        <v>444</v>
      </c>
      <c r="C73" s="202">
        <v>1</v>
      </c>
    </row>
    <row r="74" spans="1:3" ht="13.2">
      <c r="A74" s="201" t="s">
        <v>365</v>
      </c>
      <c r="B74" s="201" t="s">
        <v>445</v>
      </c>
      <c r="C74" s="202">
        <v>0</v>
      </c>
    </row>
    <row r="75" spans="1:3" ht="13.2">
      <c r="A75" s="201" t="s">
        <v>367</v>
      </c>
      <c r="B75" s="201" t="s">
        <v>446</v>
      </c>
      <c r="C75" s="202">
        <v>0</v>
      </c>
    </row>
    <row r="76" spans="1:3" ht="13.2">
      <c r="A76" s="201" t="s">
        <v>369</v>
      </c>
      <c r="B76" s="201" t="s">
        <v>389</v>
      </c>
      <c r="C76" s="202">
        <v>1</v>
      </c>
    </row>
    <row r="77" spans="1:3" ht="13.2">
      <c r="A77" s="201" t="s">
        <v>372</v>
      </c>
      <c r="B77" s="201" t="s">
        <v>447</v>
      </c>
      <c r="C77" s="202">
        <v>0</v>
      </c>
    </row>
    <row r="78" spans="1:3" ht="13.2">
      <c r="A78" s="201" t="s">
        <v>374</v>
      </c>
      <c r="B78" s="201" t="s">
        <v>448</v>
      </c>
      <c r="C78" s="202">
        <v>0</v>
      </c>
    </row>
    <row r="80" spans="1:3" ht="17.399999999999999">
      <c r="A80" s="295" t="s">
        <v>449</v>
      </c>
      <c r="B80" s="250"/>
      <c r="C80" s="250"/>
    </row>
    <row r="81" spans="1:4" ht="13.2">
      <c r="A81" s="208"/>
      <c r="B81" s="208"/>
      <c r="C81" s="208"/>
    </row>
    <row r="85" spans="1:4" ht="19.2">
      <c r="A85" s="296" t="s">
        <v>450</v>
      </c>
      <c r="B85" s="297"/>
      <c r="C85" s="298"/>
    </row>
    <row r="86" spans="1:4" ht="22.8">
      <c r="A86" s="215" t="s">
        <v>451</v>
      </c>
      <c r="B86" s="215" t="s">
        <v>452</v>
      </c>
      <c r="C86" s="215" t="s">
        <v>285</v>
      </c>
      <c r="D86" s="216"/>
    </row>
    <row r="87" spans="1:4" ht="22.8">
      <c r="A87" s="217" t="s">
        <v>177</v>
      </c>
      <c r="B87" s="218">
        <v>45817</v>
      </c>
      <c r="C87" s="219" t="s">
        <v>454</v>
      </c>
      <c r="D87" s="220"/>
    </row>
    <row r="88" spans="1:4" ht="22.8">
      <c r="A88" s="217" t="s">
        <v>179</v>
      </c>
      <c r="B88" s="218">
        <v>45847</v>
      </c>
      <c r="C88" s="219" t="s">
        <v>454</v>
      </c>
      <c r="D88" s="220"/>
    </row>
    <row r="89" spans="1:4" ht="22.8">
      <c r="A89" s="217" t="s">
        <v>180</v>
      </c>
      <c r="B89" s="218">
        <v>45817</v>
      </c>
      <c r="C89" s="219" t="s">
        <v>454</v>
      </c>
      <c r="D89" s="220"/>
    </row>
    <row r="90" spans="1:4" ht="22.8">
      <c r="A90" s="217" t="s">
        <v>6</v>
      </c>
      <c r="B90" s="218">
        <v>45817</v>
      </c>
      <c r="C90" s="219" t="s">
        <v>454</v>
      </c>
      <c r="D90" s="220"/>
    </row>
    <row r="91" spans="1:4" ht="22.8">
      <c r="A91" s="217" t="s">
        <v>7</v>
      </c>
      <c r="B91" s="218">
        <v>45786</v>
      </c>
      <c r="C91" s="219" t="s">
        <v>456</v>
      </c>
      <c r="D91" s="220"/>
    </row>
    <row r="94" spans="1:4" ht="19.2">
      <c r="A94" s="221" t="s">
        <v>285</v>
      </c>
      <c r="B94" s="221"/>
      <c r="C94" s="222"/>
    </row>
    <row r="95" spans="1:4" ht="19.2">
      <c r="A95" s="299"/>
      <c r="B95" s="272"/>
      <c r="C95" s="222"/>
    </row>
    <row r="96" spans="1:4" ht="13.2">
      <c r="A96" s="273"/>
      <c r="B96" s="275"/>
    </row>
    <row r="97" spans="1:2" ht="13.2">
      <c r="A97" s="279" t="s">
        <v>458</v>
      </c>
      <c r="B97" s="272"/>
    </row>
    <row r="98" spans="1:2" ht="13.2">
      <c r="A98" s="273"/>
      <c r="B98" s="275"/>
    </row>
    <row r="99" spans="1:2" ht="13.2">
      <c r="A99" s="279" t="s">
        <v>459</v>
      </c>
      <c r="B99" s="272"/>
    </row>
    <row r="100" spans="1:2" ht="13.2">
      <c r="A100" s="273"/>
      <c r="B100" s="275"/>
    </row>
    <row r="101" spans="1:2" ht="13.2">
      <c r="A101" s="279" t="s">
        <v>461</v>
      </c>
      <c r="B101" s="272"/>
    </row>
    <row r="102" spans="1:2" ht="13.2">
      <c r="A102" s="273"/>
      <c r="B102" s="275"/>
    </row>
    <row r="103" spans="1:2" ht="13.2">
      <c r="A103" s="279" t="s">
        <v>462</v>
      </c>
      <c r="B103" s="272"/>
    </row>
    <row r="104" spans="1:2" ht="13.2">
      <c r="A104" s="273"/>
      <c r="B104" s="275"/>
    </row>
    <row r="105" spans="1:2" ht="13.2">
      <c r="A105" s="279" t="s">
        <v>463</v>
      </c>
      <c r="B105" s="272"/>
    </row>
    <row r="106" spans="1:2" ht="13.2">
      <c r="A106" s="273"/>
      <c r="B106" s="275"/>
    </row>
    <row r="107" spans="1:2" ht="13.2">
      <c r="A107" s="279" t="s">
        <v>464</v>
      </c>
      <c r="B107" s="272"/>
    </row>
    <row r="108" spans="1:2" ht="13.2">
      <c r="A108" s="273"/>
      <c r="B108" s="275"/>
    </row>
  </sheetData>
  <mergeCells count="19">
    <mergeCell ref="A105:B106"/>
    <mergeCell ref="A107:B108"/>
    <mergeCell ref="A51:C51"/>
    <mergeCell ref="A64:C64"/>
    <mergeCell ref="A67:C67"/>
    <mergeCell ref="A80:C80"/>
    <mergeCell ref="A85:C85"/>
    <mergeCell ref="A95:B96"/>
    <mergeCell ref="A97:B98"/>
    <mergeCell ref="A35:C35"/>
    <mergeCell ref="A48:C48"/>
    <mergeCell ref="A99:B100"/>
    <mergeCell ref="A101:B102"/>
    <mergeCell ref="A103:B104"/>
    <mergeCell ref="A1:C1"/>
    <mergeCell ref="A4:C4"/>
    <mergeCell ref="A16:C16"/>
    <mergeCell ref="A19:C19"/>
    <mergeCell ref="A32:C3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2:N19"/>
  <sheetViews>
    <sheetView showGridLines="0" workbookViewId="0"/>
  </sheetViews>
  <sheetFormatPr defaultColWidth="12.6640625" defaultRowHeight="15.75" customHeight="1"/>
  <cols>
    <col min="1" max="1" width="37.33203125" customWidth="1"/>
  </cols>
  <sheetData>
    <row r="2" spans="1:14">
      <c r="B2" s="301" t="s">
        <v>371</v>
      </c>
      <c r="C2" s="250"/>
      <c r="D2" s="250"/>
      <c r="E2" s="250"/>
      <c r="F2" s="250"/>
      <c r="G2" s="250"/>
      <c r="H2" s="250"/>
      <c r="I2" s="250"/>
      <c r="J2" s="250"/>
    </row>
    <row r="3" spans="1:14" ht="15.75" customHeight="1">
      <c r="B3" s="250"/>
      <c r="C3" s="250"/>
      <c r="D3" s="250"/>
      <c r="E3" s="250"/>
      <c r="F3" s="250"/>
      <c r="G3" s="250"/>
      <c r="H3" s="250"/>
      <c r="I3" s="250"/>
      <c r="J3" s="250"/>
    </row>
    <row r="4" spans="1:14" ht="15.75" customHeight="1">
      <c r="B4" s="250"/>
      <c r="C4" s="250"/>
      <c r="D4" s="250"/>
      <c r="E4" s="250"/>
      <c r="F4" s="250"/>
      <c r="G4" s="250"/>
      <c r="H4" s="250"/>
      <c r="I4" s="250"/>
      <c r="J4" s="250"/>
    </row>
    <row r="6" spans="1:14">
      <c r="A6" s="206" t="s">
        <v>377</v>
      </c>
      <c r="B6" s="302" t="s">
        <v>378</v>
      </c>
      <c r="C6" s="277"/>
      <c r="D6" s="277"/>
      <c r="E6" s="277"/>
      <c r="F6" s="277"/>
      <c r="G6" s="277"/>
      <c r="H6" s="277"/>
      <c r="I6" s="277"/>
      <c r="J6" s="277"/>
      <c r="K6" s="277"/>
      <c r="L6" s="277"/>
      <c r="M6" s="277"/>
      <c r="N6" s="278"/>
    </row>
    <row r="7" spans="1:14">
      <c r="A7" s="210" t="s">
        <v>379</v>
      </c>
      <c r="B7" s="300" t="s">
        <v>380</v>
      </c>
      <c r="C7" s="277"/>
      <c r="D7" s="277"/>
      <c r="E7" s="277"/>
      <c r="F7" s="277"/>
      <c r="G7" s="277"/>
      <c r="H7" s="277"/>
      <c r="I7" s="277"/>
      <c r="J7" s="277"/>
      <c r="K7" s="277"/>
      <c r="L7" s="277"/>
      <c r="M7" s="277"/>
      <c r="N7" s="278"/>
    </row>
    <row r="8" spans="1:14">
      <c r="A8" s="210" t="s">
        <v>385</v>
      </c>
      <c r="B8" s="300" t="s">
        <v>386</v>
      </c>
      <c r="C8" s="277"/>
      <c r="D8" s="277"/>
      <c r="E8" s="277"/>
      <c r="F8" s="277"/>
      <c r="G8" s="277"/>
      <c r="H8" s="277"/>
      <c r="I8" s="277"/>
      <c r="J8" s="277"/>
      <c r="K8" s="277"/>
      <c r="L8" s="277"/>
      <c r="M8" s="277"/>
      <c r="N8" s="278"/>
    </row>
    <row r="9" spans="1:14">
      <c r="A9" s="210" t="s">
        <v>392</v>
      </c>
      <c r="B9" s="300" t="s">
        <v>394</v>
      </c>
      <c r="C9" s="277"/>
      <c r="D9" s="277"/>
      <c r="E9" s="277"/>
      <c r="F9" s="277"/>
      <c r="G9" s="277"/>
      <c r="H9" s="277"/>
      <c r="I9" s="277"/>
      <c r="J9" s="277"/>
      <c r="K9" s="277"/>
      <c r="L9" s="277"/>
      <c r="M9" s="277"/>
      <c r="N9" s="278"/>
    </row>
    <row r="10" spans="1:14">
      <c r="A10" s="210" t="s">
        <v>397</v>
      </c>
      <c r="B10" s="300" t="s">
        <v>398</v>
      </c>
      <c r="C10" s="277"/>
      <c r="D10" s="277"/>
      <c r="E10" s="277"/>
      <c r="F10" s="277"/>
      <c r="G10" s="277"/>
      <c r="H10" s="277"/>
      <c r="I10" s="277"/>
      <c r="J10" s="277"/>
      <c r="K10" s="277"/>
      <c r="L10" s="277"/>
      <c r="M10" s="277"/>
      <c r="N10" s="278"/>
    </row>
    <row r="11" spans="1:14">
      <c r="A11" s="210" t="s">
        <v>403</v>
      </c>
      <c r="B11" s="300" t="s">
        <v>406</v>
      </c>
      <c r="C11" s="277"/>
      <c r="D11" s="277"/>
      <c r="E11" s="277"/>
      <c r="F11" s="277"/>
      <c r="G11" s="277"/>
      <c r="H11" s="277"/>
      <c r="I11" s="277"/>
      <c r="J11" s="277"/>
      <c r="K11" s="277"/>
      <c r="L11" s="277"/>
      <c r="M11" s="277"/>
      <c r="N11" s="278"/>
    </row>
    <row r="12" spans="1:14">
      <c r="A12" s="210" t="s">
        <v>411</v>
      </c>
      <c r="B12" s="300" t="s">
        <v>412</v>
      </c>
      <c r="C12" s="277"/>
      <c r="D12" s="277"/>
      <c r="E12" s="277"/>
      <c r="F12" s="277"/>
      <c r="G12" s="277"/>
      <c r="H12" s="277"/>
      <c r="I12" s="277"/>
      <c r="J12" s="277"/>
      <c r="K12" s="277"/>
      <c r="L12" s="277"/>
      <c r="M12" s="277"/>
      <c r="N12" s="278"/>
    </row>
    <row r="13" spans="1:14">
      <c r="A13" s="210" t="s">
        <v>415</v>
      </c>
      <c r="B13" s="300" t="s">
        <v>416</v>
      </c>
      <c r="C13" s="277"/>
      <c r="D13" s="277"/>
      <c r="E13" s="277"/>
      <c r="F13" s="277"/>
      <c r="G13" s="277"/>
      <c r="H13" s="277"/>
      <c r="I13" s="277"/>
      <c r="J13" s="277"/>
      <c r="K13" s="277"/>
      <c r="L13" s="277"/>
      <c r="M13" s="277"/>
      <c r="N13" s="278"/>
    </row>
    <row r="14" spans="1:14">
      <c r="A14" s="210" t="s">
        <v>420</v>
      </c>
      <c r="B14" s="300" t="s">
        <v>422</v>
      </c>
      <c r="C14" s="277"/>
      <c r="D14" s="277"/>
      <c r="E14" s="277"/>
      <c r="F14" s="277"/>
      <c r="G14" s="277"/>
      <c r="H14" s="277"/>
      <c r="I14" s="277"/>
      <c r="J14" s="277"/>
      <c r="K14" s="277"/>
      <c r="L14" s="277"/>
      <c r="M14" s="277"/>
      <c r="N14" s="278"/>
    </row>
    <row r="15" spans="1:14">
      <c r="A15" s="210" t="s">
        <v>428</v>
      </c>
      <c r="B15" s="300" t="s">
        <v>430</v>
      </c>
      <c r="C15" s="277"/>
      <c r="D15" s="277"/>
      <c r="E15" s="277"/>
      <c r="F15" s="277"/>
      <c r="G15" s="277"/>
      <c r="H15" s="277"/>
      <c r="I15" s="277"/>
      <c r="J15" s="277"/>
      <c r="K15" s="277"/>
      <c r="L15" s="277"/>
      <c r="M15" s="277"/>
      <c r="N15" s="278"/>
    </row>
    <row r="16" spans="1:14">
      <c r="A16" s="210" t="s">
        <v>432</v>
      </c>
      <c r="B16" s="300" t="s">
        <v>434</v>
      </c>
      <c r="C16" s="277"/>
      <c r="D16" s="277"/>
      <c r="E16" s="277"/>
      <c r="F16" s="277"/>
      <c r="G16" s="277"/>
      <c r="H16" s="277"/>
      <c r="I16" s="277"/>
      <c r="J16" s="277"/>
      <c r="K16" s="277"/>
      <c r="L16" s="277"/>
      <c r="M16" s="277"/>
      <c r="N16" s="278"/>
    </row>
    <row r="17" spans="1:14">
      <c r="A17" s="210" t="s">
        <v>436</v>
      </c>
      <c r="B17" s="300" t="s">
        <v>437</v>
      </c>
      <c r="C17" s="277"/>
      <c r="D17" s="277"/>
      <c r="E17" s="277"/>
      <c r="F17" s="277"/>
      <c r="G17" s="277"/>
      <c r="H17" s="277"/>
      <c r="I17" s="277"/>
      <c r="J17" s="277"/>
      <c r="K17" s="277"/>
      <c r="L17" s="277"/>
      <c r="M17" s="277"/>
      <c r="N17" s="278"/>
    </row>
    <row r="18" spans="1:14">
      <c r="A18" s="210" t="s">
        <v>438</v>
      </c>
      <c r="B18" s="300" t="s">
        <v>439</v>
      </c>
      <c r="C18" s="277"/>
      <c r="D18" s="277"/>
      <c r="E18" s="277"/>
      <c r="F18" s="277"/>
      <c r="G18" s="277"/>
      <c r="H18" s="277"/>
      <c r="I18" s="277"/>
      <c r="J18" s="277"/>
      <c r="K18" s="277"/>
      <c r="L18" s="277"/>
      <c r="M18" s="277"/>
      <c r="N18" s="278"/>
    </row>
    <row r="19" spans="1:14">
      <c r="A19" s="210" t="s">
        <v>440</v>
      </c>
      <c r="B19" s="300" t="s">
        <v>441</v>
      </c>
      <c r="C19" s="277"/>
      <c r="D19" s="277"/>
      <c r="E19" s="277"/>
      <c r="F19" s="277"/>
      <c r="G19" s="277"/>
      <c r="H19" s="277"/>
      <c r="I19" s="277"/>
      <c r="J19" s="277"/>
      <c r="K19" s="277"/>
      <c r="L19" s="277"/>
      <c r="M19" s="277"/>
      <c r="N19" s="278"/>
    </row>
  </sheetData>
  <mergeCells count="15">
    <mergeCell ref="B17:N17"/>
    <mergeCell ref="B18:N18"/>
    <mergeCell ref="B19:N19"/>
    <mergeCell ref="B2:J4"/>
    <mergeCell ref="B6:N6"/>
    <mergeCell ref="B7:N7"/>
    <mergeCell ref="B8:N8"/>
    <mergeCell ref="B9:N9"/>
    <mergeCell ref="B10:N10"/>
    <mergeCell ref="B11:N11"/>
    <mergeCell ref="B12:N12"/>
    <mergeCell ref="B13:N13"/>
    <mergeCell ref="B14:N14"/>
    <mergeCell ref="B15:N15"/>
    <mergeCell ref="B16:N1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pageSetUpPr fitToPage="1"/>
  </sheetPr>
  <dimension ref="A2:K211"/>
  <sheetViews>
    <sheetView showGridLines="0" workbookViewId="0"/>
  </sheetViews>
  <sheetFormatPr defaultColWidth="12.6640625" defaultRowHeight="15.75" customHeight="1"/>
  <cols>
    <col min="2" max="2" width="33.109375" customWidth="1"/>
    <col min="7" max="7" width="20.77734375" customWidth="1"/>
    <col min="8" max="8" width="16" customWidth="1"/>
    <col min="9" max="9" width="28.88671875" customWidth="1"/>
    <col min="10" max="10" width="15" customWidth="1"/>
  </cols>
  <sheetData>
    <row r="2" spans="1:11" ht="15.75" customHeight="1">
      <c r="A2" s="303" t="s">
        <v>471</v>
      </c>
      <c r="B2" s="250"/>
      <c r="C2" s="250"/>
      <c r="D2" s="250"/>
      <c r="E2" s="250"/>
      <c r="F2" s="250"/>
      <c r="G2" s="250"/>
      <c r="H2" s="250"/>
      <c r="I2" s="250"/>
      <c r="J2" s="250"/>
      <c r="K2" s="250"/>
    </row>
    <row r="51" spans="4:10" ht="25.8">
      <c r="H51" s="304" t="s">
        <v>472</v>
      </c>
      <c r="I51" s="305"/>
      <c r="J51" s="306"/>
    </row>
    <row r="52" spans="4:10" ht="13.8">
      <c r="H52" s="227" t="s">
        <v>473</v>
      </c>
      <c r="I52" s="227" t="s">
        <v>474</v>
      </c>
      <c r="J52" s="227" t="s">
        <v>475</v>
      </c>
    </row>
    <row r="53" spans="4:10" ht="13.2">
      <c r="H53" s="228" t="s">
        <v>476</v>
      </c>
      <c r="I53" s="228" t="s">
        <v>477</v>
      </c>
      <c r="J53" s="229" t="s">
        <v>478</v>
      </c>
    </row>
    <row r="54" spans="4:10" ht="13.2">
      <c r="H54" s="228" t="s">
        <v>479</v>
      </c>
      <c r="I54" s="228" t="s">
        <v>480</v>
      </c>
      <c r="J54" s="229" t="s">
        <v>478</v>
      </c>
    </row>
    <row r="55" spans="4:10" ht="13.2">
      <c r="H55" s="228" t="s">
        <v>481</v>
      </c>
      <c r="I55" s="228" t="s">
        <v>482</v>
      </c>
      <c r="J55" s="230" t="s">
        <v>483</v>
      </c>
    </row>
    <row r="56" spans="4:10" ht="13.2">
      <c r="H56" s="228" t="s">
        <v>484</v>
      </c>
      <c r="I56" s="228" t="s">
        <v>485</v>
      </c>
      <c r="J56" s="230" t="s">
        <v>486</v>
      </c>
    </row>
    <row r="57" spans="4:10" ht="13.2">
      <c r="H57" s="228" t="s">
        <v>487</v>
      </c>
      <c r="I57" s="228" t="s">
        <v>488</v>
      </c>
      <c r="J57" s="230" t="s">
        <v>483</v>
      </c>
    </row>
    <row r="58" spans="4:10" ht="13.2">
      <c r="H58" s="228" t="s">
        <v>489</v>
      </c>
      <c r="I58" s="228" t="s">
        <v>490</v>
      </c>
      <c r="J58" s="230" t="s">
        <v>483</v>
      </c>
    </row>
    <row r="61" spans="4:10" ht="30">
      <c r="D61" s="231"/>
      <c r="E61" s="232"/>
    </row>
    <row r="62" spans="4:10" ht="22.8">
      <c r="E62" s="220"/>
    </row>
    <row r="63" spans="4:10" ht="22.8">
      <c r="E63" s="220"/>
      <c r="H63" s="220"/>
    </row>
    <row r="64" spans="4:10" ht="22.8">
      <c r="D64" s="216"/>
      <c r="E64" s="216"/>
      <c r="F64" s="216"/>
      <c r="G64" s="216"/>
      <c r="H64" s="216"/>
      <c r="I64" s="216"/>
      <c r="J64" s="216"/>
    </row>
    <row r="65" spans="2:10" ht="22.8">
      <c r="D65" s="220"/>
      <c r="E65" s="220"/>
      <c r="F65" s="220"/>
      <c r="G65" s="220"/>
      <c r="H65" s="220"/>
      <c r="I65" s="220"/>
      <c r="J65" s="220"/>
    </row>
    <row r="66" spans="2:10" ht="22.8">
      <c r="D66" s="220"/>
      <c r="E66" s="220"/>
      <c r="F66" s="220"/>
      <c r="G66" s="220"/>
      <c r="H66" s="220"/>
      <c r="I66" s="220"/>
      <c r="J66" s="220"/>
    </row>
    <row r="67" spans="2:10" ht="22.8">
      <c r="D67" s="220"/>
      <c r="E67" s="220"/>
      <c r="F67" s="220"/>
      <c r="G67" s="220"/>
      <c r="H67" s="220"/>
      <c r="I67" s="220"/>
      <c r="J67" s="220"/>
    </row>
    <row r="68" spans="2:10" ht="22.8">
      <c r="D68" s="220"/>
      <c r="E68" s="220"/>
      <c r="F68" s="220"/>
      <c r="G68" s="220"/>
      <c r="H68" s="220"/>
      <c r="I68" s="220"/>
      <c r="J68" s="220"/>
    </row>
    <row r="69" spans="2:10" ht="22.8">
      <c r="B69" s="220"/>
      <c r="C69" s="220"/>
      <c r="D69" s="220"/>
      <c r="E69" s="220"/>
      <c r="F69" s="220"/>
      <c r="G69" s="220"/>
      <c r="H69" s="220"/>
      <c r="I69" s="220"/>
      <c r="J69" s="220"/>
    </row>
    <row r="70" spans="2:10" ht="22.8">
      <c r="B70" s="220"/>
      <c r="C70" s="220"/>
      <c r="D70" s="220"/>
      <c r="E70" s="220"/>
      <c r="F70" s="220"/>
      <c r="G70" s="220"/>
      <c r="H70" s="220"/>
      <c r="I70" s="220"/>
      <c r="J70" s="220"/>
    </row>
    <row r="71" spans="2:10" ht="17.399999999999999">
      <c r="E71" s="194"/>
    </row>
    <row r="72" spans="2:10" ht="17.399999999999999">
      <c r="E72" s="194"/>
    </row>
    <row r="73" spans="2:10" ht="17.399999999999999">
      <c r="E73" s="194"/>
    </row>
    <row r="74" spans="2:10" ht="17.399999999999999">
      <c r="E74" s="194"/>
    </row>
    <row r="75" spans="2:10" ht="17.399999999999999">
      <c r="E75" s="194"/>
    </row>
    <row r="76" spans="2:10" ht="17.399999999999999">
      <c r="E76" s="233"/>
    </row>
    <row r="77" spans="2:10" ht="17.399999999999999">
      <c r="E77" s="194"/>
    </row>
    <row r="78" spans="2:10" ht="17.399999999999999">
      <c r="E78" s="233"/>
    </row>
    <row r="79" spans="2:10" ht="17.399999999999999">
      <c r="E79" s="194"/>
    </row>
    <row r="80" spans="2:10" ht="17.399999999999999">
      <c r="E80" s="194"/>
    </row>
    <row r="81" spans="5:5" ht="17.399999999999999">
      <c r="E81" s="194"/>
    </row>
    <row r="82" spans="5:5" ht="17.399999999999999">
      <c r="E82" s="194"/>
    </row>
    <row r="83" spans="5:5" ht="17.399999999999999">
      <c r="E83" s="194"/>
    </row>
    <row r="84" spans="5:5" ht="17.399999999999999">
      <c r="E84" s="233"/>
    </row>
    <row r="85" spans="5:5" ht="17.399999999999999">
      <c r="E85" s="194"/>
    </row>
    <row r="86" spans="5:5" ht="17.399999999999999">
      <c r="E86" s="233"/>
    </row>
    <row r="87" spans="5:5" ht="17.399999999999999">
      <c r="E87" s="194"/>
    </row>
    <row r="88" spans="5:5" ht="17.399999999999999">
      <c r="E88" s="194"/>
    </row>
    <row r="89" spans="5:5" ht="17.399999999999999">
      <c r="E89" s="194"/>
    </row>
    <row r="90" spans="5:5" ht="17.399999999999999">
      <c r="E90" s="194"/>
    </row>
    <row r="91" spans="5:5" ht="22.8">
      <c r="E91" s="220"/>
    </row>
    <row r="92" spans="5:5" ht="17.399999999999999">
      <c r="E92" s="194"/>
    </row>
    <row r="93" spans="5:5" ht="17.399999999999999">
      <c r="E93" s="233"/>
    </row>
    <row r="94" spans="5:5" ht="17.399999999999999">
      <c r="E94" s="194"/>
    </row>
    <row r="95" spans="5:5" ht="17.399999999999999">
      <c r="E95" s="233"/>
    </row>
    <row r="96" spans="5:5" ht="17.399999999999999">
      <c r="E96" s="194"/>
    </row>
    <row r="97" spans="5:5" ht="17.399999999999999">
      <c r="E97" s="194"/>
    </row>
    <row r="98" spans="5:5" ht="17.399999999999999">
      <c r="E98" s="194"/>
    </row>
    <row r="99" spans="5:5" ht="17.399999999999999">
      <c r="E99" s="233"/>
    </row>
    <row r="100" spans="5:5" ht="17.399999999999999">
      <c r="E100" s="194"/>
    </row>
    <row r="101" spans="5:5" ht="17.399999999999999">
      <c r="E101" s="233"/>
    </row>
    <row r="102" spans="5:5" ht="17.399999999999999">
      <c r="E102" s="194"/>
    </row>
    <row r="103" spans="5:5" ht="17.399999999999999">
      <c r="E103" s="194"/>
    </row>
    <row r="104" spans="5:5" ht="17.399999999999999">
      <c r="E104" s="194"/>
    </row>
    <row r="105" spans="5:5" ht="17.399999999999999">
      <c r="E105" s="233"/>
    </row>
    <row r="106" spans="5:5" ht="17.399999999999999">
      <c r="E106" s="194"/>
    </row>
    <row r="107" spans="5:5" ht="17.399999999999999">
      <c r="E107" s="233"/>
    </row>
    <row r="108" spans="5:5" ht="17.399999999999999">
      <c r="E108" s="194"/>
    </row>
    <row r="109" spans="5:5" ht="17.399999999999999">
      <c r="E109" s="194"/>
    </row>
    <row r="110" spans="5:5" ht="17.399999999999999">
      <c r="E110" s="194"/>
    </row>
    <row r="111" spans="5:5" ht="17.399999999999999">
      <c r="E111" s="194"/>
    </row>
    <row r="112" spans="5:5" ht="22.8">
      <c r="E112" s="220"/>
    </row>
    <row r="113" spans="5:5" ht="17.399999999999999">
      <c r="E113" s="194"/>
    </row>
    <row r="114" spans="5:5" ht="17.399999999999999">
      <c r="E114" s="233"/>
    </row>
    <row r="115" spans="5:5" ht="17.399999999999999">
      <c r="E115" s="194"/>
    </row>
    <row r="116" spans="5:5" ht="17.399999999999999">
      <c r="E116" s="233"/>
    </row>
    <row r="117" spans="5:5" ht="17.399999999999999">
      <c r="E117" s="194"/>
    </row>
    <row r="118" spans="5:5" ht="17.399999999999999">
      <c r="E118" s="194"/>
    </row>
    <row r="119" spans="5:5" ht="17.399999999999999">
      <c r="E119" s="194"/>
    </row>
    <row r="120" spans="5:5" ht="17.399999999999999">
      <c r="E120" s="194"/>
    </row>
    <row r="121" spans="5:5" ht="17.399999999999999">
      <c r="E121" s="233"/>
    </row>
    <row r="122" spans="5:5" ht="17.399999999999999">
      <c r="E122" s="194"/>
    </row>
    <row r="123" spans="5:5" ht="17.399999999999999">
      <c r="E123" s="233"/>
    </row>
    <row r="124" spans="5:5" ht="17.399999999999999">
      <c r="E124" s="194"/>
    </row>
    <row r="125" spans="5:5" ht="17.399999999999999">
      <c r="E125" s="194"/>
    </row>
    <row r="126" spans="5:5" ht="17.399999999999999">
      <c r="E126" s="194"/>
    </row>
    <row r="127" spans="5:5" ht="17.399999999999999">
      <c r="E127" s="194"/>
    </row>
    <row r="128" spans="5:5" ht="17.399999999999999">
      <c r="E128" s="233"/>
    </row>
    <row r="129" spans="5:5" ht="17.399999999999999">
      <c r="E129" s="194"/>
    </row>
    <row r="130" spans="5:5" ht="17.399999999999999">
      <c r="E130" s="233"/>
    </row>
    <row r="131" spans="5:5" ht="17.399999999999999">
      <c r="E131" s="194"/>
    </row>
    <row r="132" spans="5:5" ht="17.399999999999999">
      <c r="E132" s="194"/>
    </row>
    <row r="133" spans="5:5" ht="17.399999999999999">
      <c r="E133" s="194"/>
    </row>
    <row r="134" spans="5:5" ht="22.8">
      <c r="E134" s="220"/>
    </row>
    <row r="135" spans="5:5" ht="17.399999999999999">
      <c r="E135" s="194"/>
    </row>
    <row r="136" spans="5:5" ht="17.399999999999999">
      <c r="E136" s="194"/>
    </row>
    <row r="137" spans="5:5" ht="17.399999999999999">
      <c r="E137" s="194"/>
    </row>
    <row r="138" spans="5:5" ht="17.399999999999999">
      <c r="E138" s="194"/>
    </row>
    <row r="139" spans="5:5" ht="17.399999999999999">
      <c r="E139" s="194"/>
    </row>
    <row r="140" spans="5:5" ht="17.399999999999999">
      <c r="E140" s="194"/>
    </row>
    <row r="141" spans="5:5" ht="17.399999999999999">
      <c r="E141" s="194"/>
    </row>
    <row r="142" spans="5:5" ht="17.399999999999999">
      <c r="E142" s="194"/>
    </row>
    <row r="143" spans="5:5" ht="17.399999999999999">
      <c r="E143" s="194"/>
    </row>
    <row r="144" spans="5:5" ht="17.399999999999999">
      <c r="E144" s="194"/>
    </row>
    <row r="145" spans="5:5" ht="17.399999999999999">
      <c r="E145" s="194"/>
    </row>
    <row r="146" spans="5:5" ht="17.399999999999999">
      <c r="E146" s="194"/>
    </row>
    <row r="147" spans="5:5" ht="17.399999999999999">
      <c r="E147" s="194"/>
    </row>
    <row r="148" spans="5:5" ht="17.399999999999999">
      <c r="E148" s="194"/>
    </row>
    <row r="149" spans="5:5" ht="17.399999999999999">
      <c r="E149" s="194"/>
    </row>
    <row r="150" spans="5:5" ht="17.399999999999999">
      <c r="E150" s="194"/>
    </row>
    <row r="151" spans="5:5" ht="17.399999999999999">
      <c r="E151" s="194"/>
    </row>
    <row r="152" spans="5:5" ht="22.8">
      <c r="E152" s="220"/>
    </row>
    <row r="153" spans="5:5" ht="17.399999999999999">
      <c r="E153" s="194"/>
    </row>
    <row r="154" spans="5:5" ht="17.399999999999999">
      <c r="E154" s="233"/>
    </row>
    <row r="155" spans="5:5" ht="17.399999999999999">
      <c r="E155" s="194"/>
    </row>
    <row r="156" spans="5:5" ht="17.399999999999999">
      <c r="E156" s="233"/>
    </row>
    <row r="157" spans="5:5" ht="17.399999999999999">
      <c r="E157" s="194"/>
    </row>
    <row r="158" spans="5:5" ht="17.399999999999999">
      <c r="E158" s="194"/>
    </row>
    <row r="159" spans="5:5" ht="17.399999999999999">
      <c r="E159" s="194"/>
    </row>
    <row r="160" spans="5:5" ht="17.399999999999999">
      <c r="E160" s="233"/>
    </row>
    <row r="161" spans="5:5" ht="17.399999999999999">
      <c r="E161" s="194"/>
    </row>
    <row r="162" spans="5:5" ht="17.399999999999999">
      <c r="E162" s="233"/>
    </row>
    <row r="163" spans="5:5" ht="17.399999999999999">
      <c r="E163" s="194"/>
    </row>
    <row r="164" spans="5:5" ht="17.399999999999999">
      <c r="E164" s="194"/>
    </row>
    <row r="165" spans="5:5" ht="17.399999999999999">
      <c r="E165" s="194"/>
    </row>
    <row r="166" spans="5:5" ht="22.8">
      <c r="E166" s="220"/>
    </row>
    <row r="167" spans="5:5" ht="17.399999999999999">
      <c r="E167" s="194"/>
    </row>
    <row r="168" spans="5:5" ht="17.399999999999999">
      <c r="E168" s="233"/>
    </row>
    <row r="169" spans="5:5" ht="17.399999999999999">
      <c r="E169" s="194"/>
    </row>
    <row r="170" spans="5:5" ht="17.399999999999999">
      <c r="E170" s="233"/>
    </row>
    <row r="171" spans="5:5" ht="17.399999999999999">
      <c r="E171" s="194"/>
    </row>
    <row r="172" spans="5:5" ht="17.399999999999999">
      <c r="E172" s="233"/>
    </row>
    <row r="173" spans="5:5" ht="17.399999999999999">
      <c r="E173" s="194"/>
    </row>
    <row r="174" spans="5:5" ht="17.399999999999999">
      <c r="E174" s="194"/>
    </row>
    <row r="175" spans="5:5" ht="17.399999999999999">
      <c r="E175" s="194"/>
    </row>
    <row r="176" spans="5:5" ht="17.399999999999999">
      <c r="E176" s="194"/>
    </row>
    <row r="177" spans="5:5" ht="17.399999999999999">
      <c r="E177" s="233"/>
    </row>
    <row r="178" spans="5:5" ht="17.399999999999999">
      <c r="E178" s="194"/>
    </row>
    <row r="179" spans="5:5" ht="17.399999999999999">
      <c r="E179" s="233"/>
    </row>
    <row r="180" spans="5:5" ht="17.399999999999999">
      <c r="E180" s="194"/>
    </row>
    <row r="181" spans="5:5" ht="17.399999999999999">
      <c r="E181" s="194"/>
    </row>
    <row r="182" spans="5:5" ht="17.399999999999999">
      <c r="E182" s="194"/>
    </row>
    <row r="183" spans="5:5" ht="17.399999999999999">
      <c r="E183" s="194"/>
    </row>
    <row r="184" spans="5:5" ht="17.399999999999999">
      <c r="E184" s="194"/>
    </row>
    <row r="185" spans="5:5" ht="17.399999999999999">
      <c r="E185" s="194"/>
    </row>
    <row r="186" spans="5:5" ht="17.399999999999999">
      <c r="E186" s="194"/>
    </row>
    <row r="187" spans="5:5" ht="17.399999999999999">
      <c r="E187" s="194"/>
    </row>
    <row r="188" spans="5:5" ht="17.399999999999999">
      <c r="E188" s="194"/>
    </row>
    <row r="189" spans="5:5" ht="17.399999999999999">
      <c r="E189" s="194"/>
    </row>
    <row r="190" spans="5:5" ht="17.399999999999999">
      <c r="E190" s="233"/>
    </row>
    <row r="191" spans="5:5" ht="17.399999999999999">
      <c r="E191" s="194"/>
    </row>
    <row r="192" spans="5:5" ht="17.399999999999999">
      <c r="E192" s="233"/>
    </row>
    <row r="193" spans="5:7" ht="17.399999999999999">
      <c r="E193" s="194"/>
    </row>
    <row r="194" spans="5:7" ht="17.399999999999999">
      <c r="E194" s="194"/>
    </row>
    <row r="195" spans="5:7" ht="17.399999999999999">
      <c r="E195" s="194"/>
    </row>
    <row r="196" spans="5:7" ht="17.399999999999999">
      <c r="E196" s="194"/>
    </row>
    <row r="197" spans="5:7" ht="17.399999999999999">
      <c r="E197" s="194"/>
    </row>
    <row r="198" spans="5:7" ht="17.399999999999999">
      <c r="E198" s="194"/>
    </row>
    <row r="199" spans="5:7" ht="17.399999999999999">
      <c r="E199" s="233"/>
    </row>
    <row r="200" spans="5:7" ht="17.399999999999999">
      <c r="E200" s="194"/>
    </row>
    <row r="201" spans="5:7" ht="17.399999999999999">
      <c r="E201" s="233"/>
    </row>
    <row r="202" spans="5:7" ht="22.8">
      <c r="E202" s="220"/>
    </row>
    <row r="203" spans="5:7" ht="22.8">
      <c r="E203" s="216"/>
      <c r="F203" s="216"/>
      <c r="G203" s="216"/>
    </row>
    <row r="204" spans="5:7" ht="22.8">
      <c r="E204" s="220"/>
      <c r="F204" s="220"/>
      <c r="G204" s="220"/>
    </row>
    <row r="205" spans="5:7" ht="22.8">
      <c r="E205" s="220"/>
      <c r="F205" s="220"/>
      <c r="G205" s="220"/>
    </row>
    <row r="206" spans="5:7" ht="22.8">
      <c r="E206" s="220"/>
      <c r="F206" s="220"/>
      <c r="G206" s="220"/>
    </row>
    <row r="207" spans="5:7" ht="22.8">
      <c r="E207" s="220"/>
      <c r="F207" s="220"/>
      <c r="G207" s="220"/>
    </row>
    <row r="208" spans="5:7" ht="22.8">
      <c r="E208" s="220"/>
      <c r="F208" s="220"/>
      <c r="G208" s="220"/>
    </row>
    <row r="209" spans="5:7" ht="22.8">
      <c r="E209" s="220"/>
      <c r="F209" s="220"/>
      <c r="G209" s="220"/>
    </row>
    <row r="210" spans="5:7" ht="22.8">
      <c r="E210" s="234"/>
    </row>
    <row r="211" spans="5:7" ht="22.8">
      <c r="E211" s="220"/>
    </row>
  </sheetData>
  <mergeCells count="2">
    <mergeCell ref="A2:K2"/>
    <mergeCell ref="H51:J51"/>
  </mergeCells>
  <printOptions horizontalCentered="1" gridLines="1"/>
  <pageMargins left="0.7" right="0.7" top="0.75" bottom="0.75" header="0" footer="0"/>
  <pageSetup fitToHeight="0" pageOrder="overThenDown" orientation="landscape"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Front</vt:lpstr>
      <vt:lpstr>Intro</vt:lpstr>
      <vt:lpstr>Vertical financial statements</vt:lpstr>
      <vt:lpstr>comparative statements</vt:lpstr>
      <vt:lpstr> common size statements</vt:lpstr>
      <vt:lpstr>trend statements</vt:lpstr>
      <vt:lpstr>Ratio analysis</vt:lpstr>
      <vt:lpstr>Dupont Analysis</vt:lpstr>
      <vt:lpstr>Z-Score</vt:lpstr>
      <vt:lpstr>F-Score</vt:lpstr>
      <vt:lpstr>Assumptions</vt:lpstr>
      <vt:lpstr>Decisionssuggestionsopinions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Mukesh kumar</cp:lastModifiedBy>
  <dcterms:modified xsi:type="dcterms:W3CDTF">2026-10-19T11:17:52Z</dcterms:modified>
</cp:coreProperties>
</file>